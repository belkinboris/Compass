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и" sheetId="1" state="visible" r:id="rId1"/>
    <sheet name="Единица экономики" sheetId="2" state="visible" r:id="rId2"/>
    <sheet name="Допущения" sheetId="3" state="visible" r:id="rId3"/>
    <sheet name="Расчёт 790 ₽" sheetId="4" state="visible" r:id="rId4"/>
    <sheet name="Расчёт 990 ₽" sheetId="5" state="visible" r:id="rId5"/>
    <sheet name="Расчёт 1490 ₽" sheetId="6" state="visible" r:id="rId6"/>
    <sheet name="Налоги и рис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 ##0 ₽;[Red]-# ##0 ₽"/>
    <numFmt numFmtId="165" formatCode="0.0%"/>
    <numFmt numFmtId="166" formatCode="# ##0;[Red]-# ##0"/>
  </numFmts>
  <fonts count="8">
    <font>
      <name val="Calibri"/>
      <family val="2"/>
      <color theme="1"/>
      <sz val="11"/>
      <scheme val="minor"/>
    </font>
    <font>
      <name val="Calibri"/>
      <b val="1"/>
      <color rgb="000F5132"/>
      <sz val="14"/>
    </font>
    <font>
      <name val="Calibri"/>
      <color rgb="006B6B6B"/>
      <sz val="9"/>
    </font>
    <font>
      <name val="Calibri"/>
      <b val="1"/>
      <sz val="11"/>
    </font>
    <font>
      <name val="Calibri"/>
      <b val="1"/>
      <color rgb="001C2B25"/>
      <sz val="11"/>
    </font>
    <font>
      <name val="Calibri"/>
      <sz val="11"/>
    </font>
    <font>
      <name val="Calibri"/>
      <b val="1"/>
      <color rgb="009C3B1B"/>
      <sz val="11"/>
    </font>
    <font>
      <name val="Calibri"/>
      <b val="1"/>
      <color rgb="000F5132"/>
      <sz val="11"/>
    </font>
  </fonts>
  <fills count="4">
    <fill>
      <patternFill/>
    </fill>
    <fill>
      <patternFill patternType="gray125"/>
    </fill>
    <fill>
      <patternFill patternType="solid">
        <fgColor rgb="00E7EFE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2" fontId="6" fillId="0" borderId="0" pivotButton="0" quotePrefix="0" xfId="0"/>
    <xf numFmtId="166" fontId="7" fillId="0" borderId="0" pivotButton="0" quotePrefix="0" xfId="0"/>
    <xf numFmtId="166" fontId="5" fillId="0" borderId="0" pivotButton="0" quotePrefix="0" xfId="0"/>
    <xf numFmtId="166" fontId="6" fillId="0" borderId="0" pivotButton="0" quotePrefix="0" xfId="0"/>
    <xf numFmtId="166" fontId="3" fillId="0" borderId="0" pivotButton="0" quotePrefix="0" xfId="0"/>
    <xf numFmtId="164" fontId="3" fillId="0" borderId="0" pivotButton="0" quotePrefix="0" xfId="0"/>
    <xf numFmtId="164" fontId="6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3" fillId="0" borderId="0" applyAlignment="1" pivotButton="0" quotePrefix="0" xfId="0">
      <alignment vertical="top" wrapText="1"/>
    </xf>
    <xf numFmtId="2" fontId="5" fillId="0" borderId="0" pivotButton="0" quotePrefix="0" xfId="0"/>
    <xf numFmtId="2" fontId="3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164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0" fontId="6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17" customWidth="1" min="4" max="4"/>
    <col width="70" customWidth="1" min="5" max="5"/>
  </cols>
  <sheetData>
    <row r="1">
      <c r="A1" s="1" t="inlineStr">
        <is>
          <t>«Компас» — финансовая модель на 24 месяца, продажа физическим лицам</t>
        </is>
      </c>
    </row>
    <row r="2">
      <c r="A2" s="2" t="inlineStr">
        <is>
          <t>Октябрь 2026 — сентябрь 2028. Составлено 22 сентября 2026. Три колонки — три цены подписки.</t>
        </is>
      </c>
    </row>
    <row r="4">
      <c r="A4" s="3" t="inlineStr">
        <is>
          <t>Один подписчик</t>
        </is>
      </c>
      <c r="B4" s="4" t="n"/>
      <c r="C4" s="4" t="n"/>
      <c r="D4" s="4" t="n"/>
      <c r="E4" s="4" t="n"/>
    </row>
    <row r="5">
      <c r="A5" s="5" t="inlineStr">
        <is>
          <t>Показатель</t>
        </is>
      </c>
      <c r="B5" s="5" t="inlineStr">
        <is>
          <t>790 ₽</t>
        </is>
      </c>
      <c r="C5" s="5" t="inlineStr">
        <is>
          <t>990 ₽</t>
        </is>
      </c>
      <c r="D5" s="5" t="inlineStr">
        <is>
          <t>1490 ₽</t>
        </is>
      </c>
      <c r="E5" s="5" t="inlineStr">
        <is>
          <t>Что это значит</t>
        </is>
      </c>
    </row>
    <row r="6" ht="30" customHeight="1">
      <c r="A6" s="6" t="inlineStr">
        <is>
          <t>Вклад одного подписчика в месяц</t>
        </is>
      </c>
      <c r="B6" s="7">
        <f>'Единица экономики'!$B$10</f>
        <v/>
      </c>
      <c r="C6" s="7">
        <f>'Единица экономики'!$C$10</f>
        <v/>
      </c>
      <c r="D6" s="7">
        <f>'Единица экономики'!$D$10</f>
        <v/>
      </c>
      <c r="E6" s="8" t="inlineStr">
        <is>
          <t>Платёж минус комиссия, возвраты и ассистент.</t>
        </is>
      </c>
    </row>
    <row r="7" ht="30" customHeight="1">
      <c r="A7" s="6" t="inlineStr">
        <is>
          <t>Сколько он принесёт за всю жизнь (LTV)</t>
        </is>
      </c>
      <c r="B7" s="7">
        <f>'Единица экономики'!$B$14</f>
        <v/>
      </c>
      <c r="C7" s="7">
        <f>'Единица экономики'!$C$14</f>
        <v/>
      </c>
      <c r="D7" s="7">
        <f>'Единица экономики'!$D$14</f>
        <v/>
      </c>
      <c r="E7" s="8" t="inlineStr">
        <is>
          <t>Вклад, делённый на отток.</t>
        </is>
      </c>
    </row>
    <row r="8" ht="30" customHeight="1">
      <c r="A8" s="6" t="inlineStr">
        <is>
          <t>Сколько стоит его привести (CAC)</t>
        </is>
      </c>
      <c r="B8" s="7">
        <f>'Единица экономики'!$B$15</f>
        <v/>
      </c>
      <c r="C8" s="7">
        <f>'Единица экономики'!$C$15</f>
        <v/>
      </c>
      <c r="D8" s="7">
        <f>'Единица экономики'!$D$15</f>
        <v/>
      </c>
      <c r="E8" s="8" t="inlineStr">
        <is>
          <t>Через платное продвижение по нынешней цене регистрации.</t>
        </is>
      </c>
    </row>
    <row r="9" ht="30" customHeight="1">
      <c r="A9" s="6" t="inlineStr">
        <is>
          <t>LTV ÷ CAC</t>
        </is>
      </c>
      <c r="B9" s="9">
        <f>'Единица экономики'!$B$16</f>
        <v/>
      </c>
      <c r="C9" s="9">
        <f>'Единица экономики'!$C$16</f>
        <v/>
      </c>
      <c r="D9" s="9">
        <f>'Единица экономики'!$D$16</f>
        <v/>
      </c>
      <c r="E9" s="8" t="inlineStr">
        <is>
          <t>Ниже 1 — платное привлечение сжигает деньги. Здоровая подписка — от 3.</t>
        </is>
      </c>
    </row>
    <row r="10" ht="30" customHeight="1">
      <c r="A10" s="6" t="inlineStr">
        <is>
          <t>Порог безубыточности, подписчиков</t>
        </is>
      </c>
      <c r="B10" s="10">
        <f>'Единица экономики'!$B$22</f>
        <v/>
      </c>
      <c r="C10" s="10">
        <f>'Единица экономики'!$C$22</f>
        <v/>
      </c>
      <c r="D10" s="10">
        <f>'Единица экономики'!$D$22</f>
        <v/>
      </c>
      <c r="E10" s="8" t="inlineStr">
        <is>
          <t>Сколько платящих людей нужно, чтобы перестать терять деньги, пока нет разработчика.</t>
        </is>
      </c>
    </row>
    <row r="11" ht="30" customHeight="1">
      <c r="A11" s="6" t="inlineStr">
        <is>
          <t xml:space="preserve">  то же с разработчиком за 50 тыс ₽</t>
        </is>
      </c>
      <c r="B11" s="11">
        <f>'Единица экономики'!$B$23</f>
        <v/>
      </c>
      <c r="C11" s="11">
        <f>'Единица экономики'!$C$23</f>
        <v/>
      </c>
      <c r="D11" s="11">
        <f>'Единица экономики'!$D$23</f>
        <v/>
      </c>
      <c r="E11" s="8" t="inlineStr">
        <is>
          <t>Месяцы с 4-го по 12-й.</t>
        </is>
      </c>
    </row>
    <row r="12" ht="30" customHeight="1">
      <c r="A12" s="6" t="inlineStr">
        <is>
          <t xml:space="preserve">  то же с разработчиком за 100 тыс ₽</t>
        </is>
      </c>
      <c r="B12" s="12">
        <f>'Единица экономики'!$B$24</f>
        <v/>
      </c>
      <c r="C12" s="12">
        <f>'Единица экономики'!$C$24</f>
        <v/>
      </c>
      <c r="D12" s="12">
        <f>'Единица экономики'!$D$24</f>
        <v/>
      </c>
      <c r="E12" s="8" t="inlineStr">
        <is>
          <t>С 13-го месяца. Разница с двумя строками выше — цена решения, выраженная в людях.</t>
        </is>
      </c>
    </row>
    <row r="14">
      <c r="A14" s="3" t="inlineStr">
        <is>
          <t>Что выходит за два года</t>
        </is>
      </c>
      <c r="B14" s="4" t="n"/>
      <c r="C14" s="4" t="n"/>
      <c r="D14" s="4" t="n"/>
      <c r="E14" s="4" t="n"/>
    </row>
    <row r="15">
      <c r="A15" s="5" t="inlineStr">
        <is>
          <t>Показатель</t>
        </is>
      </c>
      <c r="B15" s="5" t="inlineStr">
        <is>
          <t>790 ₽</t>
        </is>
      </c>
      <c r="C15" s="5" t="inlineStr">
        <is>
          <t>990 ₽</t>
        </is>
      </c>
      <c r="D15" s="5" t="inlineStr">
        <is>
          <t>1490 ₽</t>
        </is>
      </c>
      <c r="E15" s="5" t="inlineStr">
        <is>
          <t>Что это значит</t>
        </is>
      </c>
    </row>
    <row r="16" ht="30" customHeight="1">
      <c r="A16" s="6" t="inlineStr">
        <is>
          <t>Платящих через 12 месяцев</t>
        </is>
      </c>
      <c r="B16" s="13">
        <f>'Расчёт 790 ₽'!M10</f>
        <v/>
      </c>
      <c r="C16" s="13">
        <f>'Расчёт 990 ₽'!M10</f>
        <v/>
      </c>
      <c r="D16" s="13">
        <f>'Расчёт 1490 ₽'!M10</f>
        <v/>
      </c>
      <c r="E16" s="8" t="inlineStr"/>
    </row>
    <row r="17" ht="30" customHeight="1">
      <c r="A17" s="6" t="inlineStr">
        <is>
          <t>Платящих через 24 месяца</t>
        </is>
      </c>
      <c r="B17" s="13">
        <f>'Расчёт 790 ₽'!Y10</f>
        <v/>
      </c>
      <c r="C17" s="13">
        <f>'Расчёт 990 ₽'!Y10</f>
        <v/>
      </c>
      <c r="D17" s="13">
        <f>'Расчёт 1490 ₽'!Y10</f>
        <v/>
      </c>
      <c r="E17" s="8" t="inlineStr">
        <is>
          <t>Главное число модели: всё остальное считается от него.</t>
        </is>
      </c>
    </row>
    <row r="18" ht="30" customHeight="1">
      <c r="A18" s="6" t="inlineStr">
        <is>
          <t>Зарегистрировано всего за 24 месяца</t>
        </is>
      </c>
      <c r="B18" s="11">
        <f>SUM('Расчёт 790 ₽'!B8:Y8)</f>
        <v/>
      </c>
      <c r="C18" s="11">
        <f>SUM('Расчёт 990 ₽'!B8:Y8)</f>
        <v/>
      </c>
      <c r="D18" s="11">
        <f>SUM('Расчёт 1490 ₽'!B8:Y8)</f>
        <v/>
      </c>
      <c r="E18" s="8" t="inlineStr">
        <is>
          <t>Органика плюс платное продвижение.</t>
        </is>
      </c>
    </row>
    <row r="19" ht="30" customHeight="1">
      <c r="A19" s="6" t="inlineStr">
        <is>
          <t>Выручка за 12 месяцев</t>
        </is>
      </c>
      <c r="B19" s="7">
        <f>SUM('Расчёт 790 ₽'!B12:M12)</f>
        <v/>
      </c>
      <c r="C19" s="7">
        <f>SUM('Расчёт 990 ₽'!B12:M12)</f>
        <v/>
      </c>
      <c r="D19" s="7">
        <f>SUM('Расчёт 1490 ₽'!B12:M12)</f>
        <v/>
      </c>
      <c r="E19" s="8" t="inlineStr"/>
    </row>
    <row r="20" ht="30" customHeight="1">
      <c r="A20" s="6" t="inlineStr">
        <is>
          <t>Выручка за 24 месяца</t>
        </is>
      </c>
      <c r="B20" s="14">
        <f>SUM('Расчёт 790 ₽'!B12:Y12)</f>
        <v/>
      </c>
      <c r="C20" s="14">
        <f>SUM('Расчёт 990 ₽'!B12:Y12)</f>
        <v/>
      </c>
      <c r="D20" s="14">
        <f>SUM('Расчёт 1490 ₽'!B12:Y12)</f>
        <v/>
      </c>
      <c r="E20" s="8" t="inlineStr"/>
    </row>
    <row r="21" ht="30" customHeight="1">
      <c r="A21" s="6" t="inlineStr">
        <is>
          <t>Расходы за 24 месяца</t>
        </is>
      </c>
      <c r="B21" s="7">
        <f>SUM('Расчёт 790 ₽'!B32:Y32)</f>
        <v/>
      </c>
      <c r="C21" s="7">
        <f>SUM('Расчёт 990 ₽'!B32:Y32)</f>
        <v/>
      </c>
      <c r="D21" s="7">
        <f>SUM('Расчёт 1490 ₽'!B32:Y32)</f>
        <v/>
      </c>
      <c r="E21" s="8" t="inlineStr"/>
    </row>
    <row r="22" ht="30" customHeight="1">
      <c r="A22" s="6" t="inlineStr">
        <is>
          <t>Налоги за 24 месяца</t>
        </is>
      </c>
      <c r="B22" s="7">
        <f>SUM('Расчёт 790 ₽'!B38:Y38)</f>
        <v/>
      </c>
      <c r="C22" s="7">
        <f>SUM('Расчёт 990 ₽'!B38:Y38)</f>
        <v/>
      </c>
      <c r="D22" s="7">
        <f>SUM('Расчёт 1490 ₽'!B38:Y38)</f>
        <v/>
      </c>
      <c r="E22" s="8" t="inlineStr">
        <is>
          <t>УСН плюс НДС после порога. Первый год — минимальный налог 1% с дохода.</t>
        </is>
      </c>
    </row>
    <row r="23" ht="30" customHeight="1">
      <c r="A23" s="6" t="inlineStr">
        <is>
          <t>Взносы за гендиректора за 24 месяца</t>
        </is>
      </c>
      <c r="B23" s="7">
        <f>SUM('Расчёт 790 ₽'!B31:Y31)</f>
        <v/>
      </c>
      <c r="C23" s="7">
        <f>SUM('Расчёт 990 ₽'!B31:Y31)</f>
        <v/>
      </c>
      <c r="D23" s="7">
        <f>SUM('Расчёт 1490 ₽'!B31:Y31)</f>
        <v/>
      </c>
      <c r="E23" s="8" t="inlineStr">
        <is>
          <t>Цена решения «не заключать трудовой договор». С 2026 года она не ноль.</t>
        </is>
      </c>
    </row>
    <row r="24" ht="30" customHeight="1">
      <c r="A24" s="6" t="inlineStr">
        <is>
          <t>Чистая прибыль за 24 месяца</t>
        </is>
      </c>
      <c r="B24" s="14">
        <f>SUM('Расчёт 790 ₽'!B41:Y41)</f>
        <v/>
      </c>
      <c r="C24" s="14">
        <f>SUM('Расчёт 990 ₽'!B41:Y41)</f>
        <v/>
      </c>
      <c r="D24" s="14">
        <f>SUM('Расчёт 1490 ₽'!B41:Y41)</f>
        <v/>
      </c>
      <c r="E24" s="8" t="inlineStr"/>
    </row>
    <row r="25" ht="30" customHeight="1">
      <c r="A25" s="6" t="inlineStr">
        <is>
          <t>Деньги на конец 24-го месяца</t>
        </is>
      </c>
      <c r="B25" s="14">
        <f>'Расчёт 790 ₽'!Y43</f>
        <v/>
      </c>
      <c r="C25" s="14">
        <f>'Расчёт 990 ₽'!Y43</f>
        <v/>
      </c>
      <c r="D25" s="14">
        <f>'Расчёт 1490 ₽'!Y43</f>
        <v/>
      </c>
      <c r="E25" s="8" t="inlineStr">
        <is>
          <t>Отрицательное число — столько денег не хватило.</t>
        </is>
      </c>
    </row>
    <row r="27">
      <c r="A27" s="3" t="inlineStr">
        <is>
          <t>Три числа, которые решают всё</t>
        </is>
      </c>
      <c r="B27" s="4" t="n"/>
      <c r="C27" s="4" t="n"/>
      <c r="D27" s="4" t="n"/>
      <c r="E27" s="4" t="n"/>
    </row>
    <row r="28">
      <c r="A28" s="5" t="inlineStr">
        <is>
          <t>Показатель</t>
        </is>
      </c>
      <c r="B28" s="5" t="inlineStr">
        <is>
          <t>790 ₽</t>
        </is>
      </c>
      <c r="C28" s="5" t="inlineStr">
        <is>
          <t>990 ₽</t>
        </is>
      </c>
      <c r="D28" s="5" t="inlineStr">
        <is>
          <t>1490 ₽</t>
        </is>
      </c>
      <c r="E28" s="5" t="inlineStr">
        <is>
          <t>Что это значит</t>
        </is>
      </c>
    </row>
    <row r="29" ht="30" customHeight="1">
      <c r="A29" s="6" t="inlineStr">
        <is>
          <t>Месяц выхода в прибыль</t>
        </is>
      </c>
      <c r="B29" s="13">
        <f>IFERROR(MATCH(TRUE,INDEX('Расчёт 790 ₽'!B41:Y41&gt;0,0),0),"за 24 месяца не выходим")</f>
        <v/>
      </c>
      <c r="C29" s="13">
        <f>IFERROR(MATCH(TRUE,INDEX('Расчёт 990 ₽'!B41:Y41&gt;0,0),0),"за 24 месяца не выходим")</f>
        <v/>
      </c>
      <c r="D29" s="13">
        <f>IFERROR(MATCH(TRUE,INDEX('Расчёт 1490 ₽'!B41:Y41&gt;0,0),0),"за 24 месяца не выходим")</f>
        <v/>
      </c>
      <c r="E29" s="8" t="inlineStr">
        <is>
          <t>Первый месяц, в котором чистая прибыль положительна.</t>
        </is>
      </c>
    </row>
    <row r="30" ht="30" customHeight="1">
      <c r="A30" s="6" t="inlineStr">
        <is>
          <t>Месяц, когда деньги уходят в минус</t>
        </is>
      </c>
      <c r="B30" s="12">
        <f>IFERROR(MATCH(TRUE,INDEX('Расчёт 790 ₽'!B43:Y43&lt;0,0),0),"не уходят")</f>
        <v/>
      </c>
      <c r="C30" s="12">
        <f>IFERROR(MATCH(TRUE,INDEX('Расчёт 990 ₽'!B43:Y43&lt;0,0),0),"не уходят")</f>
        <v/>
      </c>
      <c r="D30" s="12">
        <f>IFERROR(MATCH(TRUE,INDEX('Расчёт 1490 ₽'!B43:Y43&lt;0,0),0),"не уходят")</f>
        <v/>
      </c>
      <c r="E30" s="8" t="inlineStr">
        <is>
          <t>До этого месяца нужно либо выйти в плюс, либо найти деньги.</t>
        </is>
      </c>
    </row>
    <row r="31" ht="30" customHeight="1">
      <c r="A31" s="6" t="inlineStr">
        <is>
          <t>Сколько денег нужно сверх стартовых</t>
        </is>
      </c>
      <c r="B31" s="15">
        <f>MAX(0,-MIN('Расчёт 790 ₽'!B43:Y43))</f>
        <v/>
      </c>
      <c r="C31" s="15">
        <f>MAX(0,-MIN('Расчёт 990 ₽'!B43:Y43))</f>
        <v/>
      </c>
      <c r="D31" s="15">
        <f>MAX(0,-MIN('Расчёт 1490 ₽'!B43:Y43))</f>
        <v/>
      </c>
      <c r="E31" s="8" t="inlineStr">
        <is>
          <t>Самая глубокая точка минуса. Ноль означает, что стартовых хватило.</t>
        </is>
      </c>
    </row>
    <row r="33">
      <c r="A33" s="16" t="inlineStr">
        <is>
          <t>Как читать эту таблицу</t>
        </is>
      </c>
    </row>
    <row r="34" ht="44" customHeight="1">
      <c r="A34" s="17" t="inlineStr">
        <is>
          <t>•</t>
        </is>
      </c>
      <c r="B34" s="6" t="inlineStr">
        <is>
          <t>Сравнивать цены по выручке — ошибка. Смотрите на две строки: «LTV ÷ CAC» (сходится ли один человек) и «месяц выхода в прибыль» (доживаем ли мы до него на своих деньгах).</t>
        </is>
      </c>
    </row>
    <row r="35" ht="44" customHeight="1">
      <c r="A35" s="17" t="inlineStr">
        <is>
          <t>•</t>
        </is>
      </c>
      <c r="B35" s="6" t="inlineStr">
        <is>
          <t>Дорогая подписка приносит больше с человека, но людей, готовых её купить, меньше, они дольше решаются и стоят дороже в привлечении. Дешёвая — наоборот. Именно поэтому в допущениях у каждой цены свои воронка и отток, а не одни на три колонки.</t>
        </is>
      </c>
    </row>
    <row r="36" ht="44" customHeight="1">
      <c r="A36" s="17" t="inlineStr">
        <is>
          <t>•</t>
        </is>
      </c>
      <c r="B36" s="6" t="inlineStr">
        <is>
          <t>Если «LTV ÷ CAC» ниже единицы у всех трёх цен — это не приговор цене, это приговор ПЛАТНОМУ привлечению по нынешней его стоимости. Органический рост живёт по другой арифметике, и порог безубыточности показывает, сколько людей для него нужно.</t>
        </is>
      </c>
    </row>
    <row r="37" ht="44" customHeight="1">
      <c r="A37" s="17" t="inlineStr">
        <is>
          <t>•</t>
        </is>
      </c>
      <c r="B37" s="6" t="inlineStr">
        <is>
          <t>Меняйте только жёлтые клетки на листе «Допущения». Числа, помеченные «УТОЧНИТЬ», — мои оценки: хостинг, Яндекс AI, API-ФНС, деньги на старте.</t>
        </is>
      </c>
    </row>
    <row r="38" ht="44" customHeight="1">
      <c r="A38" s="17" t="inlineStr">
        <is>
          <t>•</t>
        </is>
      </c>
      <c r="B38" s="6" t="inlineStr">
        <is>
          <t>Лист «Налоги и риски» читать обязательно: там про взносы за гендиректора и про то, что добавляет именно продажа физлицам — чеки, возвраты, персональные данные.</t>
        </is>
      </c>
    </row>
  </sheetData>
  <mergeCells count="5">
    <mergeCell ref="B35:E35"/>
    <mergeCell ref="B38:E38"/>
    <mergeCell ref="B37:E37"/>
    <mergeCell ref="B36:E36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76" customWidth="1" min="5" max="5"/>
  </cols>
  <sheetData>
    <row r="1">
      <c r="A1" s="1" t="inlineStr">
        <is>
          <t>Единица экономики: сходится ли один подписчик</t>
        </is>
      </c>
    </row>
    <row r="2">
      <c r="A2" s="2" t="inlineStr">
        <is>
          <t>Здесь нет роста и нет воронки — только один человек и деньги вокруг него. Если тут не сходится, никакой рост не поможет.</t>
        </is>
      </c>
    </row>
    <row r="4">
      <c r="A4" s="18" t="inlineStr">
        <is>
          <t>Показатель</t>
        </is>
      </c>
      <c r="B4" s="18" t="inlineStr">
        <is>
          <t>790 ₽</t>
        </is>
      </c>
      <c r="C4" s="18" t="inlineStr">
        <is>
          <t>990 ₽</t>
        </is>
      </c>
      <c r="D4" s="18" t="inlineStr">
        <is>
          <t>1490 ₽</t>
        </is>
      </c>
      <c r="E4" s="18" t="inlineStr">
        <is>
          <t>Как считается и что значит</t>
        </is>
      </c>
    </row>
    <row r="5">
      <c r="A5" s="3" t="inlineStr">
        <is>
          <t>Что приносит один подписчик</t>
        </is>
      </c>
      <c r="B5" s="4" t="n"/>
      <c r="C5" s="4" t="n"/>
      <c r="D5" s="4" t="n"/>
      <c r="E5" s="4" t="n"/>
    </row>
    <row r="6" ht="30" customHeight="1">
      <c r="A6" s="6" t="inlineStr">
        <is>
          <t>Средний платёж в месяц</t>
        </is>
      </c>
      <c r="B6" s="7">
        <f>Допущения!$B$8*(1-Допущения!$B$10)+Допущения!$B$9/12*Допущения!$B$10</f>
        <v/>
      </c>
      <c r="C6" s="7">
        <f>Допущения!$C$8*(1-Допущения!$C$10)+Допущения!$C$9/12*Допущения!$C$10</f>
        <v/>
      </c>
      <c r="D6" s="7">
        <f>Допущения!$D$8*(1-Допущения!$D$10)+Допущения!$D$9/12*Допущения!$D$10</f>
        <v/>
      </c>
      <c r="E6" s="8" t="inlineStr">
        <is>
          <t>Помесячные и годовые вперемешку: годовая подписка признаётся по 1/12 в месяц. Доля годовых взята на конец второго года.</t>
        </is>
      </c>
    </row>
    <row r="7" ht="30" customHeight="1">
      <c r="A7" s="6" t="inlineStr">
        <is>
          <t>минус комиссия за приём платежа</t>
        </is>
      </c>
      <c r="B7" s="7">
        <f>-$B$6*Допущения!$B$50</f>
        <v/>
      </c>
      <c r="C7" s="7">
        <f>-$C$6*Допущения!$C$50</f>
        <v/>
      </c>
      <c r="D7" s="7">
        <f>-$D$6*Допущения!$D$50</f>
        <v/>
      </c>
      <c r="E7" s="8" t="inlineStr">
        <is>
          <t>Карты физлиц. Перевод людей на СБП — самая дешёвая правка в этой таблице: комиссия падает с 3% до 0,4–0,7%.</t>
        </is>
      </c>
    </row>
    <row r="8" ht="30" customHeight="1">
      <c r="A8" s="6" t="inlineStr">
        <is>
          <t>минус возвраты</t>
        </is>
      </c>
      <c r="B8" s="7">
        <f>-$B$6*Допущения!$B$13</f>
        <v/>
      </c>
      <c r="C8" s="7">
        <f>-$C$6*Допущения!$C$13</f>
        <v/>
      </c>
      <c r="D8" s="7">
        <f>-$D$6*Допущения!$D$13</f>
        <v/>
      </c>
      <c r="E8" s="8" t="inlineStr">
        <is>
          <t>Закон о защите прав потребителей: физлицо вправе отказаться от неиспользованного периода.</t>
        </is>
      </c>
    </row>
    <row r="9" ht="30" customHeight="1">
      <c r="A9" s="6" t="inlineStr">
        <is>
          <t>минус ассистент на этого подписчика</t>
        </is>
      </c>
      <c r="B9" s="7">
        <f>-Допущения!$B$28</f>
        <v/>
      </c>
      <c r="C9" s="7">
        <f>-Допущения!$C$28</f>
        <v/>
      </c>
      <c r="D9" s="7">
        <f>-Допущения!$D$28</f>
        <v/>
      </c>
      <c r="E9" s="8" t="inlineStr">
        <is>
          <t>Единственный расход, который растёт вместе с числом людей.</t>
        </is>
      </c>
    </row>
    <row r="10" ht="30" customHeight="1">
      <c r="A10" s="19" t="inlineStr">
        <is>
          <t>ВКЛАД ОДНОГО ПОДПИСЧИКА В МЕСЯЦ</t>
        </is>
      </c>
      <c r="B10" s="14">
        <f>$B$6+$B$7+$B$8+$B$9</f>
        <v/>
      </c>
      <c r="C10" s="14">
        <f>$C$6+$C$7+$C$8+$C$9</f>
        <v/>
      </c>
      <c r="D10" s="14">
        <f>$D$6+$D$7+$D$8+$D$9</f>
        <v/>
      </c>
      <c r="E10" s="8" t="inlineStr">
        <is>
          <t>Столько он приносит на покрытие постоянных расходов.</t>
        </is>
      </c>
    </row>
    <row r="12">
      <c r="A12" s="3" t="inlineStr">
        <is>
          <t>Сколько он живёт и сколько стоит его привести</t>
        </is>
      </c>
      <c r="B12" s="4" t="n"/>
      <c r="C12" s="4" t="n"/>
      <c r="D12" s="4" t="n"/>
      <c r="E12" s="4" t="n"/>
    </row>
    <row r="13" ht="30" customHeight="1">
      <c r="A13" s="6" t="inlineStr">
        <is>
          <t>Срок жизни подписки, месяцев</t>
        </is>
      </c>
      <c r="B13" s="20">
        <f>1/Допущения!$B$12</f>
        <v/>
      </c>
      <c r="C13" s="20">
        <f>1/Допущения!$C$12</f>
        <v/>
      </c>
      <c r="D13" s="20">
        <f>1/Допущения!$D$12</f>
        <v/>
      </c>
      <c r="E13" s="8" t="inlineStr">
        <is>
          <t>Обратная величина оттока.</t>
        </is>
      </c>
    </row>
    <row r="14" ht="30" customHeight="1">
      <c r="A14" s="6" t="inlineStr">
        <is>
          <t>Сколько он принесёт за всю жизнь (LTV)</t>
        </is>
      </c>
      <c r="B14" s="7">
        <f>$B$10/Допущения!$B$12</f>
        <v/>
      </c>
      <c r="C14" s="7">
        <f>$C$10/Допущения!$C$12</f>
        <v/>
      </c>
      <c r="D14" s="7">
        <f>$D$10/Допущения!$D$12</f>
        <v/>
      </c>
      <c r="E14" s="8" t="inlineStr">
        <is>
          <t>Вклад в месяц, делённый на отток.</t>
        </is>
      </c>
    </row>
    <row r="15" ht="30" customHeight="1">
      <c r="A15" s="6" t="inlineStr">
        <is>
          <t>Сколько стоит привести одного платящего (CAC)</t>
        </is>
      </c>
      <c r="B15" s="7">
        <f>Допущения!$B$19/Допущения!$B$20</f>
        <v/>
      </c>
      <c r="C15" s="7">
        <f>Допущения!$C$19/Допущения!$C$20</f>
        <v/>
      </c>
      <c r="D15" s="7">
        <f>Допущения!$D$19/Допущения!$D$20</f>
        <v/>
      </c>
      <c r="E15" s="8" t="inlineStr">
        <is>
          <t>Стоимость регистрации, делённая на долю тех, кто начинает платить. Платит-то не каждый зарегистрировавшийся, поэтому CAC во много раз больше цены регистрации.</t>
        </is>
      </c>
    </row>
    <row r="16" ht="30" customHeight="1">
      <c r="A16" s="19" t="inlineStr">
        <is>
          <t>LTV ÷ CAC</t>
        </is>
      </c>
      <c r="B16" s="21">
        <f>$B$14/$B$15</f>
        <v/>
      </c>
      <c r="C16" s="21">
        <f>$C$14/$C$15</f>
        <v/>
      </c>
      <c r="D16" s="21">
        <f>$D$14/$D$15</f>
        <v/>
      </c>
      <c r="E16" s="8" t="inlineStr">
        <is>
          <t>Ниже 1 — привлечение сжигает деньги. Обычный ориентир здоровой подписки — 3 и выше.</t>
        </is>
      </c>
    </row>
    <row r="17" ht="30" customHeight="1">
      <c r="A17" s="6" t="inlineStr">
        <is>
          <t>Окупаемость привлечения, месяцев</t>
        </is>
      </c>
      <c r="B17" s="20">
        <f>IF($B$10&gt;0,$B$15/$B$10,"—")</f>
        <v/>
      </c>
      <c r="C17" s="20">
        <f>IF($C$10&gt;0,$C$15/$C$10,"—")</f>
        <v/>
      </c>
      <c r="D17" s="20">
        <f>IF($D$10&gt;0,$D$15/$D$10,"—")</f>
        <v/>
      </c>
      <c r="E17" s="8" t="inlineStr">
        <is>
          <t>Сколько месяцев подписчик отрабатывает собственное привлечение. Больше срока жизни — не отрабатывает никогда.</t>
        </is>
      </c>
    </row>
    <row r="18" ht="30" customHeight="1">
      <c r="A18" s="22" t="inlineStr">
        <is>
          <t>Цена регистрации, при которой привлечение окупается втрое</t>
        </is>
      </c>
      <c r="B18" s="15">
        <f>$B$14*Допущения!$B$20/3</f>
        <v/>
      </c>
      <c r="C18" s="15">
        <f>$C$14*Допущения!$C$20/3</f>
        <v/>
      </c>
      <c r="D18" s="15">
        <f>$D$14*Допущения!$D$20/3</f>
        <v/>
      </c>
      <c r="E18" s="8" t="inlineStr">
        <is>
          <t>Вот к какому числу нужно привести стоимость посева, чтобы платное продвижение имело смысл. Сравните с жёлтой клеткой «стоимость одной регистрации» в допущениях.</t>
        </is>
      </c>
    </row>
    <row r="20">
      <c r="A20" s="3" t="inlineStr">
        <is>
          <t>Когда бизнес перестаёт быть убыточным</t>
        </is>
      </c>
      <c r="B20" s="4" t="n"/>
      <c r="C20" s="4" t="n"/>
      <c r="D20" s="4" t="n"/>
      <c r="E20" s="4" t="n"/>
    </row>
    <row r="21" ht="30" customHeight="1">
      <c r="A21" s="6" t="inlineStr">
        <is>
          <t>Постоянные расходы в месяц</t>
        </is>
      </c>
      <c r="B21" s="7">
        <f>Допущения!$B$23+Допущения!$B$24+Допущения!$B$25+Допущения!$B$26+Допущения!$B$27+Допущения!$B$30+Допущения!$B$31+Допущения!$B$32+Допущения!$B$33+Допущения!$B$35+Допущения!$B$34+Допущения!$B$37+Допущения!$B$38+MAX(Допущения!$B$37,Допущения!$B$48)*Допущения!$B$49</f>
        <v/>
      </c>
      <c r="C21" s="7">
        <f>Допущения!$C$23+Допущения!$C$24+Допущения!$C$25+Допущения!$C$26+Допущения!$C$27+Допущения!$C$30+Допущения!$C$31+Допущения!$C$32+Допущения!$C$33+Допущения!$C$35+Допущения!$C$34+Допущения!$C$37+Допущения!$C$38+MAX(Допущения!$C$37,Допущения!$C$48)*Допущения!$C$49</f>
        <v/>
      </c>
      <c r="D21" s="7">
        <f>Допущения!$D$23+Допущения!$D$24+Допущения!$D$25+Допущения!$D$26+Допущения!$D$27+Допущения!$D$30+Допущения!$D$31+Допущения!$D$32+Допущения!$D$33+Допущения!$D$35+Допущения!$D$34+Допущения!$D$37+Допущения!$D$38+MAX(Допущения!$D$37,Допущения!$D$48)*Допущения!$D$49</f>
        <v/>
      </c>
      <c r="E21" s="8" t="inlineStr">
        <is>
          <t>Всё, что платится независимо от числа подписчиков, включая обязательные взносы за гендиректора и платное продвижение.</t>
        </is>
      </c>
    </row>
    <row r="22" ht="30" customHeight="1">
      <c r="A22" s="23" t="inlineStr">
        <is>
          <t>ПОРОГ БЕЗУБЫТОЧНОСТИ, подписчиков</t>
        </is>
      </c>
      <c r="B22" s="10">
        <f>ROUNDUP($B$21/$B$10,0)</f>
        <v/>
      </c>
      <c r="C22" s="10">
        <f>ROUNDUP($C$21/$C$10,0)</f>
        <v/>
      </c>
      <c r="D22" s="10">
        <f>ROUNDUP($D$21/$D$10,0)</f>
        <v/>
      </c>
      <c r="E22" s="8" t="inlineStr">
        <is>
          <t>Столько платящих людей нужно, чтобы перестать терять деньги. Это самое понятное число во всей модели: его можно держать в голове и сверять с фактом каждый месяц.</t>
        </is>
      </c>
    </row>
    <row r="23" ht="30" customHeight="1">
      <c r="A23" s="6" t="inlineStr">
        <is>
          <t xml:space="preserve">  то же с разработчиком за 50 тыс ₽ (месяцы 4–12)</t>
        </is>
      </c>
      <c r="B23" s="11">
        <f>ROUNDUP(($B$21+Допущения!$B$40)/$B$10,0)</f>
        <v/>
      </c>
      <c r="C23" s="11">
        <f>ROUNDUP(($C$21+Допущения!$C$40)/$C$10,0)</f>
        <v/>
      </c>
      <c r="D23" s="11">
        <f>ROUNDUP(($D$21+Допущения!$D$40)/$D$10,0)</f>
        <v/>
      </c>
      <c r="E23" s="8" t="inlineStr">
        <is>
          <t>Столько платящих нужно, пока идёт первая ставка.</t>
        </is>
      </c>
    </row>
    <row r="24" ht="30" customHeight="1">
      <c r="A24" s="22" t="inlineStr">
        <is>
          <t xml:space="preserve">  то же с разработчиком за 100 тыс ₽ (с 13-го месяца)</t>
        </is>
      </c>
      <c r="B24" s="12">
        <f>ROUNDUP(($B$21+Допущения!$B$42)/$B$10,0)</f>
        <v/>
      </c>
      <c r="C24" s="12">
        <f>ROUNDUP(($C$21+Допущения!$C$42)/$C$10,0)</f>
        <v/>
      </c>
      <c r="D24" s="12">
        <f>ROUNDUP(($D$21+Допущения!$D$42)/$D$10,0)</f>
        <v/>
      </c>
      <c r="E24" s="8" t="inlineStr">
        <is>
          <t>А столько — когда ставка вырастет. Разница между этой строкой и строкой выше и есть цена решения нанять дороже, выраженная в людях, а не в рублях.</t>
        </is>
      </c>
    </row>
    <row r="25" ht="30" customHeight="1">
      <c r="A25" s="6" t="inlineStr">
        <is>
          <t>Выручка на пороге, ₽ в месяц</t>
        </is>
      </c>
      <c r="B25" s="7">
        <f>$B$22*$B$6</f>
        <v/>
      </c>
      <c r="C25" s="7">
        <f>$C$22*$C$6</f>
        <v/>
      </c>
      <c r="D25" s="7">
        <f>$D$22*$D$6</f>
        <v/>
      </c>
      <c r="E25" s="8" t="inlineStr"/>
    </row>
    <row r="26" ht="30" customHeight="1">
      <c r="A26" s="19" t="inlineStr">
        <is>
          <t>Через сколько месяцев туда попадаем</t>
        </is>
      </c>
      <c r="B26" s="13">
        <f>IFERROR(MATCH(TRUE,INDEX('Расчёт 790 ₽'!$B$10:$Y$10&gt;=$B$22,0),0),"за 24 месяца не успеваем")</f>
        <v/>
      </c>
      <c r="C26" s="13">
        <f>IFERROR(MATCH(TRUE,INDEX('Расчёт 990 ₽'!$B$10:$Y$10&gt;=$C$22,0),0),"за 24 месяца не успеваем")</f>
        <v/>
      </c>
      <c r="D26" s="13">
        <f>IFERROR(MATCH(TRUE,INDEX('Расчёт 1490 ₽'!$B$10:$Y$10&gt;=$D$22,0),0),"за 24 месяца не успеваем")</f>
        <v/>
      </c>
      <c r="E26" s="8" t="inlineStr">
        <is>
          <t>Номер месяца от старта — из помесячного расчёта на соседнем листе.</t>
        </is>
      </c>
    </row>
    <row r="27" ht="30" customHeight="1">
      <c r="A27" s="6" t="inlineStr">
        <is>
          <t>Сколько подписчиков — это 20 млн ₽ в год (порог НДС)</t>
        </is>
      </c>
      <c r="B27" s="11">
        <f>ROUNDUP(Допущения!$B$46/12/$B$6,0)</f>
        <v/>
      </c>
      <c r="C27" s="11">
        <f>ROUNDUP(Допущения!$C$46/12/$C$6,0)</f>
        <v/>
      </c>
      <c r="D27" s="11">
        <f>ROUNDUP(Допущения!$D$46/12/$D$6,0)</f>
        <v/>
      </c>
      <c r="E27" s="8" t="inlineStr">
        <is>
          <t>Порог НДС в B2C далеко: при таком чеке до него нужны тысячи человек. Это редкий случай, когда низкая цена упрощает жизнь не только покупателю.</t>
        </is>
      </c>
    </row>
    <row r="29">
      <c r="A29" s="16" t="inlineStr">
        <is>
          <t>Что из этого следует</t>
        </is>
      </c>
    </row>
    <row r="30" ht="58" customHeight="1">
      <c r="A30" s="17" t="inlineStr">
        <is>
          <t>•</t>
        </is>
      </c>
      <c r="B30" s="6" t="inlineStr">
        <is>
          <t>Сравните строку «LTV ÷ CAC» с единицей. Если она ниже — каждый рубль, потраченный на платное привлечение, возвращается не полностью, и наращивать бюджет продвижения означает быстрее терять деньги. Рост в этом случае бывает только органическим: свой канал, поисковая выдача, пересылки, упоминания — то, где регистрация стоит не денег, а нашего времени.</t>
        </is>
      </c>
    </row>
    <row r="31" ht="58" customHeight="1">
      <c r="A31" s="17" t="inlineStr">
        <is>
          <t>•</t>
        </is>
      </c>
      <c r="B31" s="6" t="inlineStr">
        <is>
          <t>Строка «цена регистрации, при которой привлечение окупается втрое» — это задача маркетингу, выраженная одним числом. Не «сделать красиво», а «привести регистрацию дешевле, чем столько».</t>
        </is>
      </c>
    </row>
    <row r="32" ht="58" customHeight="1">
      <c r="A32" s="17" t="inlineStr">
        <is>
          <t>•</t>
        </is>
      </c>
      <c r="B32" s="6" t="inlineStr">
        <is>
          <t>Порог безубыточности — это цель на ближайший год, и она измеряется людьми, а не рублями. Сотня платящих человек понятнее, чем миллион выручки.</t>
        </is>
      </c>
    </row>
    <row r="33" ht="58" customHeight="1">
      <c r="A33" s="17" t="inlineStr">
        <is>
          <t>•</t>
        </is>
      </c>
      <c r="B33" s="6" t="inlineStr">
        <is>
          <t>Отток важнее цены. Поднять цену на 25% легко посчитать, а снизить отток с 11% до 8% даёт больше — посмотрите, как меняется LTV при правке жёлтой клетки «отток».</t>
        </is>
      </c>
    </row>
  </sheetData>
  <mergeCells count="4">
    <mergeCell ref="B31:E31"/>
    <mergeCell ref="B33:E33"/>
    <mergeCell ref="B30:E30"/>
    <mergeCell ref="B32:E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78" customWidth="1" min="5" max="5"/>
  </cols>
  <sheetData>
    <row r="1">
      <c r="A1" s="1" t="inlineStr">
        <is>
          <t>Допущения модели — продаём только физическим лицам</t>
        </is>
      </c>
    </row>
    <row r="2">
      <c r="A2" s="2" t="inlineStr">
        <is>
          <t>Три колонки — три цены подписки. Каждая считается насквозь на своём листе.</t>
        </is>
      </c>
    </row>
    <row r="3">
      <c r="A3" s="2" t="inlineStr">
        <is>
          <t>Жёлтые клетки можно менять. Всё остальное считается формулами.</t>
        </is>
      </c>
    </row>
    <row r="4">
      <c r="A4" s="2" t="inlineStr">
        <is>
          <t>Составлено 22 сентября 2026. Ставки налогов проверены по источникам в этот день.</t>
        </is>
      </c>
    </row>
    <row r="6">
      <c r="A6" s="5" t="inlineStr">
        <is>
          <t>Показатель</t>
        </is>
      </c>
      <c r="B6" s="5" t="inlineStr">
        <is>
          <t>790 ₽</t>
        </is>
      </c>
      <c r="C6" s="5" t="inlineStr">
        <is>
          <t>990 ₽</t>
        </is>
      </c>
      <c r="D6" s="5" t="inlineStr">
        <is>
          <t>1490 ₽</t>
        </is>
      </c>
      <c r="E6" s="5" t="inlineStr">
        <is>
          <t>Откуда число</t>
        </is>
      </c>
    </row>
    <row r="7">
      <c r="A7" s="3" t="inlineStr">
        <is>
          <t>Цена</t>
        </is>
      </c>
      <c r="B7" s="4" t="n"/>
      <c r="C7" s="4" t="n"/>
      <c r="D7" s="4" t="n"/>
      <c r="E7" s="4" t="n"/>
    </row>
    <row r="8" ht="30" customHeight="1">
      <c r="A8" s="6" t="inlineStr">
        <is>
          <t>Подписка, ₽ в месяц</t>
        </is>
      </c>
      <c r="B8" s="24" t="n">
        <v>790</v>
      </c>
      <c r="C8" s="24" t="n">
        <v>990</v>
      </c>
      <c r="D8" s="24" t="n">
        <v>1490</v>
      </c>
      <c r="E8" s="8" t="inlineStr">
        <is>
          <t>Три сценария, заданные вами. Для сравнения: СПАРК продаёт рабочее место от 100 тыс ₽ в год — это другой покупатель (компания, а не человек). Наши прямые соседи (Буракова, Aspring) бесплатны, потому что они приложение к каналу и к инвестбанку, а не самостоятельный продукт.</t>
        </is>
      </c>
    </row>
    <row r="9" ht="30" customHeight="1">
      <c r="A9" s="6" t="inlineStr">
        <is>
          <t>Подписка, ₽ в год</t>
        </is>
      </c>
      <c r="B9" s="24" t="n">
        <v>7900</v>
      </c>
      <c r="C9" s="24" t="n">
        <v>9900</v>
      </c>
      <c r="D9" s="24" t="n">
        <v>14900</v>
      </c>
      <c r="E9" s="8" t="inlineStr">
        <is>
          <t>Десять месяцев по цене двенадцати. Для нас годовая оплата важнее скидки: это единственный источник оборотных денег, кроме собственных.</t>
        </is>
      </c>
    </row>
    <row r="10" ht="30" customHeight="1">
      <c r="A10" s="6" t="inlineStr">
        <is>
          <t>Доля годовых подписок к 24-му месяцу</t>
        </is>
      </c>
      <c r="B10" s="25" t="n">
        <v>0.2</v>
      </c>
      <c r="C10" s="25" t="n">
        <v>0.22</v>
      </c>
      <c r="D10" s="25" t="n">
        <v>0.28</v>
      </c>
      <c r="E10" s="8" t="inlineStr">
        <is>
          <t>Чем дороже месяц, тем заметнее выгода годовой оплаты, поэтому доля растёт вместе с ценой. Растёт линейно от нуля: в первые месяцы человек платит помесячно, пока не убедился.</t>
        </is>
      </c>
    </row>
    <row r="11">
      <c r="A11" s="3" t="inlineStr">
        <is>
          <t>Как ведёт себя подписчик-человек</t>
        </is>
      </c>
      <c r="B11" s="4" t="n"/>
      <c r="C11" s="4" t="n"/>
      <c r="D11" s="4" t="n"/>
      <c r="E11" s="4" t="n"/>
    </row>
    <row r="12" ht="30" customHeight="1">
      <c r="A12" s="6" t="inlineStr">
        <is>
          <t>Отток в месяц (помесячные подписки)</t>
        </is>
      </c>
      <c r="B12" s="25" t="n">
        <v>0.11</v>
      </c>
      <c r="C12" s="25" t="n">
        <v>0.1</v>
      </c>
      <c r="D12" s="25" t="n">
        <v>0.08500000000000001</v>
      </c>
      <c r="E12" s="8" t="inlineStr">
        <is>
          <t>Главное отличие B2C от продажи компаниям: платит человек из своего кармана и уходит легко. 11% в месяц — это около 9 месяцев жизни подписки, 8,5% — около года. Дешёвая подписка отваливается чаще, потому что решение о ней принимается легче. Проверять фактом с третьего месяца продаж: это число решает всё.</t>
        </is>
      </c>
    </row>
    <row r="13" ht="30" customHeight="1">
      <c r="A13" s="6" t="inlineStr">
        <is>
          <t>Возвраты, доля выручки</t>
        </is>
      </c>
      <c r="B13" s="25" t="n">
        <v>0.02</v>
      </c>
      <c r="C13" s="25" t="n">
        <v>0.02</v>
      </c>
      <c r="D13" s="25" t="n">
        <v>0.02</v>
      </c>
      <c r="E13" s="8" t="inlineStr">
        <is>
          <t>Продажа физлицу подпадает под закон о защите прав потребителей: человек вправе отказаться и потребовать деньги за неиспользованный период. 2% — рабочая прикидка, заменить фактом.</t>
        </is>
      </c>
    </row>
    <row r="14">
      <c r="A14" s="3" t="inlineStr">
        <is>
          <t>Воронка</t>
        </is>
      </c>
      <c r="B14" s="4" t="n"/>
      <c r="C14" s="4" t="n"/>
      <c r="D14" s="4" t="n"/>
      <c r="E14" s="4" t="n"/>
    </row>
    <row r="15" ht="30" customHeight="1">
      <c r="A15" s="6" t="inlineStr">
        <is>
          <t>Потолок: сколько человек в России ВООБЩЕ может это купить</t>
        </is>
      </c>
      <c r="B15" s="26" t="n">
        <v>25000</v>
      </c>
      <c r="C15" s="26" t="n">
        <v>25000</v>
      </c>
      <c r="D15" s="26" t="n">
        <v>18000</v>
      </c>
      <c r="E15" s="8" t="inlineStr">
        <is>
          <t>Считаем от своей же базы, а не с потолка. Ядро: 286 консультационных фирм названы в наших сделках поимённо (164 юридических, 122 финансовых) — примерно по 5 человек, это ≈1 400; корпоративное развитие у ~700 компаний-покупателей, по 2 человека — ещё ≈1 400; фонды, оценщики, инхаус-юристы — ≈600. Ядро ≈3 400 человек. Остальное — те, для кого рынок сделок профессиональный интерес, а не ежедневная работа: аналитики, деловые журналисты, преподаватели и студенты профильных программ, частные инвесторы. Именно их открывает цена 790–1490 ₽, и именно поэтому при 1490 ₽ потолок ниже: студент и частный инвестор отпадают. САМОЕ ЗЫБКОЕ ЧИСЛО МОДЕЛИ.</t>
        </is>
      </c>
    </row>
    <row r="16" ht="30" customHeight="1">
      <c r="A16" s="6" t="inlineStr">
        <is>
          <t>Максимальная доля платящих от потолка</t>
        </is>
      </c>
      <c r="B16" s="25" t="n">
        <v>0.045</v>
      </c>
      <c r="C16" s="25" t="n">
        <v>0.035</v>
      </c>
      <c r="D16" s="25" t="n">
        <v>0.025</v>
      </c>
      <c r="E16" s="8" t="inlineStr">
        <is>
          <t>Сколько из тех, кто в принципе может купить, купит за два года. Дешевле — больше.</t>
        </is>
      </c>
    </row>
    <row r="17" ht="30" customHeight="1">
      <c r="A17" s="6" t="inlineStr">
        <is>
          <t>Органических регистраций в месяц на старте</t>
        </is>
      </c>
      <c r="B17" s="26" t="n">
        <v>25</v>
      </c>
      <c r="C17" s="26" t="n">
        <v>25</v>
      </c>
      <c r="D17" s="26" t="n">
        <v>25</v>
      </c>
      <c r="E17" s="8" t="inlineStr">
        <is>
          <t>Наш факт: 16 одобренных аккаунтов за 7 недель закрытого теста (≈10 в месяц) — и это с дверью «Запросить доступ» и без единого рубля на продвижение. Снимаем дверь, включаем канал и поиск — берём 25 с запасом на первый месяц.</t>
        </is>
      </c>
    </row>
    <row r="18" ht="30" customHeight="1">
      <c r="A18" s="6" t="inlineStr">
        <is>
          <t>Прирост органики в месяц</t>
        </is>
      </c>
      <c r="B18" s="25" t="n">
        <v>0.1</v>
      </c>
      <c r="C18" s="25" t="n">
        <v>0.1</v>
      </c>
      <c r="D18" s="25" t="n">
        <v>0.09</v>
      </c>
      <c r="E18" s="8" t="inlineStr">
        <is>
          <t>Свой канал, пересылки, поисковая выдача. Гасится по мере заполнения рынка: чем меньше осталось незарегистрированных, тем медленнее растём.</t>
        </is>
      </c>
    </row>
    <row r="19" ht="30" customHeight="1">
      <c r="A19" s="6" t="inlineStr">
        <is>
          <t>Стоимость одной регистрации из платного продвижения, ₽</t>
        </is>
      </c>
      <c r="B19" s="24" t="n">
        <v>800</v>
      </c>
      <c r="C19" s="24" t="n">
        <v>800</v>
      </c>
      <c r="D19" s="24" t="n">
        <v>900</v>
      </c>
      <c r="E19" s="8" t="inlineStr">
        <is>
          <t>Посев в отраслевом телеграм-канале: 10–50 тыс ₽ за размещение, 20–60 регистраций. Чем дороже подписка, тем уже аудитория и дороже попадание. ЭТО ЧИСЛО НАДО ИЗМЕРИТЬ первым же посевом — от него зависит, имеет ли платное продвижение смысл вообще.</t>
        </is>
      </c>
    </row>
    <row r="20" ht="30" customHeight="1">
      <c r="A20" s="6" t="inlineStr">
        <is>
          <t>Доля регистраций, которые начинают платить</t>
        </is>
      </c>
      <c r="B20" s="25" t="n">
        <v>0.09</v>
      </c>
      <c r="C20" s="25" t="n">
        <v>0.07000000000000001</v>
      </c>
      <c r="D20" s="25" t="n">
        <v>0.045</v>
      </c>
      <c r="E20" s="8" t="inlineStr">
        <is>
          <t>Платного доступа не было ни дня — число не измерено ничем. Для бесплатной регистрации с последующей платной подпиской 3–10% — обычная вилка. Дешевле — выше.</t>
        </is>
      </c>
    </row>
    <row r="21" ht="30" customHeight="1">
      <c r="A21" s="6" t="inlineStr">
        <is>
          <t>Задержка от регистрации до оплаты, месяцев</t>
        </is>
      </c>
      <c r="B21" s="26" t="n">
        <v>2</v>
      </c>
      <c r="C21" s="26" t="n">
        <v>2</v>
      </c>
      <c r="D21" s="26" t="n">
        <v>3</v>
      </c>
      <c r="E21" s="8" t="inlineStr">
        <is>
          <t>Человек смотрит, возвращается, ждёт повода. Чем дороже, тем дольше думает.</t>
        </is>
      </c>
    </row>
    <row r="22">
      <c r="A22" s="3" t="inlineStr">
        <is>
          <t>Расходы, ₽ в месяц — по вашим счетам</t>
        </is>
      </c>
      <c r="B22" s="4" t="n"/>
      <c r="C22" s="4" t="n"/>
      <c r="D22" s="4" t="n"/>
      <c r="E22" s="4" t="n"/>
    </row>
    <row r="23" ht="30" customHeight="1">
      <c r="A23" s="6" t="inlineStr">
        <is>
          <t>Хостинг Timeweb</t>
        </is>
      </c>
      <c r="B23" s="24" t="n">
        <v>5300</v>
      </c>
      <c r="C23" s="24" t="n">
        <v>5300</v>
      </c>
      <c r="D23" s="24" t="n">
        <v>5300</v>
      </c>
      <c r="E23" s="8" t="inlineStr">
        <is>
          <t>ВАШ СЧЁТ. Сервер приложения и база.</t>
        </is>
      </c>
    </row>
    <row r="24" ht="30" customHeight="1">
      <c r="A24" s="6" t="inlineStr">
        <is>
          <t>Yandex.Cloud</t>
        </is>
      </c>
      <c r="B24" s="24" t="n">
        <v>7000</v>
      </c>
      <c r="C24" s="24" t="n">
        <v>7000</v>
      </c>
      <c r="D24" s="24" t="n">
        <v>7000</v>
      </c>
      <c r="E24" s="8" t="inlineStr">
        <is>
          <t>ВАШ СЧЁТ. Инфраструктура и модель ассистента.</t>
        </is>
      </c>
    </row>
    <row r="25" ht="30" customHeight="1">
      <c r="A25" s="6" t="inlineStr">
        <is>
          <t>Claude (разработка)</t>
        </is>
      </c>
      <c r="B25" s="24" t="n">
        <v>20000</v>
      </c>
      <c r="C25" s="24" t="n">
        <v>20000</v>
      </c>
      <c r="D25" s="24" t="n">
        <v>20000</v>
      </c>
      <c r="E25" s="8" t="inlineStr">
        <is>
          <t>ВАШ СЧЁТ. Самая крупная статья из названных вами — больше, чем хостинг, облако, регистратор и офис вместе взятые.</t>
        </is>
      </c>
    </row>
    <row r="26" ht="30" customHeight="1">
      <c r="A26" s="6" t="inlineStr">
        <is>
          <t>Регистратор Р.О.С.Т.</t>
        </is>
      </c>
      <c r="B26" s="24" t="n">
        <v>3000</v>
      </c>
      <c r="C26" s="24" t="n">
        <v>3000</v>
      </c>
      <c r="D26" s="24" t="n">
        <v>3000</v>
      </c>
      <c r="E26" s="8" t="inlineStr">
        <is>
          <t>ВАШ СЧЁТ: 9 000 ₽ в квартал. У АО реестр акционеров обязан вести лицензированный регистратор — у ООО такой статьи нет вовсе.</t>
        </is>
      </c>
    </row>
    <row r="27" ht="30" customHeight="1">
      <c r="A27" s="6" t="inlineStr">
        <is>
          <t>Аренда офиса</t>
        </is>
      </c>
      <c r="B27" s="24" t="n">
        <v>1908</v>
      </c>
      <c r="C27" s="24" t="n">
        <v>1908</v>
      </c>
      <c r="D27" s="24" t="n">
        <v>1908</v>
      </c>
      <c r="E27" s="8" t="inlineStr">
        <is>
          <t>ВАШ СЧЁТ: 22 900 ₽ в год, то есть 1 908 ₽ в месяц.</t>
        </is>
      </c>
    </row>
    <row r="28" ht="30" customHeight="1">
      <c r="A28" s="6" t="inlineStr">
        <is>
          <t>Ассистент на одного подписчика (сверх счёта Yandex.Cloud)</t>
        </is>
      </c>
      <c r="B28" s="24" t="n">
        <v>90</v>
      </c>
      <c r="C28" s="24" t="n">
        <v>90</v>
      </c>
      <c r="D28" s="24" t="n">
        <v>110</v>
      </c>
      <c r="E28" s="8" t="inlineStr">
        <is>
          <t>Единственный расход, который растёт вместе с числом людей. Сегодняшние 7 000 ₽ — это счёт при полутора десятках аккаунтов; насколько вырастет квота на сотне платящих, НЕ ИЗМЕРЕНО. Дороже подписка — профессиональнее аудитория и длиннее запросы.</t>
        </is>
      </c>
    </row>
    <row r="29">
      <c r="A29" s="3" t="inlineStr">
        <is>
          <t>Расходы, ₽ в месяц — мои прикидки, их надо заменить счетами</t>
        </is>
      </c>
      <c r="B29" s="4" t="n"/>
      <c r="C29" s="4" t="n"/>
      <c r="D29" s="4" t="n"/>
      <c r="E29" s="4" t="n"/>
    </row>
    <row r="30" ht="30" customHeight="1">
      <c r="A30" s="6" t="inlineStr">
        <is>
          <t>API-ФНС (финансы компаний)</t>
        </is>
      </c>
      <c r="B30" s="24" t="n">
        <v>8000</v>
      </c>
      <c r="C30" s="24" t="n">
        <v>8000</v>
      </c>
      <c r="D30" s="24" t="n">
        <v>8000</v>
      </c>
      <c r="E30" s="8" t="inlineStr">
        <is>
          <t>Платный ключ куплен, годовая квота 3000 запросов. УТОЧНИТЬ фактическую стоимость.</t>
        </is>
      </c>
    </row>
    <row r="31" ht="30" customHeight="1">
      <c r="A31" s="6" t="inlineStr">
        <is>
          <t>Онлайн-касса и чеки (54-ФЗ)</t>
        </is>
      </c>
      <c r="B31" s="24" t="n">
        <v>2500</v>
      </c>
      <c r="C31" s="24" t="n">
        <v>2500</v>
      </c>
      <c r="D31" s="24" t="n">
        <v>2500</v>
      </c>
      <c r="E31" s="8" t="inlineStr">
        <is>
          <t>ПОЯВЛЯЕТСЯ ИМЕННО ИЗ-ЗА B2C: приём денег от физлица требует фискального чека. Обычно чек выбивает платёжный сервис как агент — УТОЧНИТЬ это в договоре; если нет, нужна облачная касса с фискальным накопителем.</t>
        </is>
      </c>
    </row>
    <row r="32" ht="30" customHeight="1">
      <c r="A32" s="6" t="inlineStr">
        <is>
          <t>Бухгалтерия на аутсорсе</t>
        </is>
      </c>
      <c r="B32" s="24" t="n">
        <v>12000</v>
      </c>
      <c r="C32" s="24" t="n">
        <v>12000</v>
      </c>
      <c r="D32" s="24" t="n">
        <v>12000</v>
      </c>
      <c r="E32" s="8" t="inlineStr">
        <is>
          <t>АО отчитывается сложнее ООО: раскрытие, реестр акционеров, ревизия. УТОЧНИТЬ.</t>
        </is>
      </c>
    </row>
    <row r="33" ht="30" customHeight="1">
      <c r="A33" s="6" t="inlineStr">
        <is>
          <t>Юрист и патентный поверенный</t>
        </is>
      </c>
      <c r="B33" s="24" t="n">
        <v>10000</v>
      </c>
      <c r="C33" s="24" t="n">
        <v>10000</v>
      </c>
      <c r="D33" s="24" t="n">
        <v>10000</v>
      </c>
      <c r="E33" s="8" t="inlineStr">
        <is>
          <t>Товарный знак, оферта для физлиц, политика данных, согласия на рассылку. УТОЧНИТЬ.</t>
        </is>
      </c>
    </row>
    <row r="34" ht="30" customHeight="1">
      <c r="A34" s="6" t="inlineStr">
        <is>
          <t>Платное продвижение</t>
        </is>
      </c>
      <c r="B34" s="24" t="n">
        <v>30000</v>
      </c>
      <c r="C34" s="24" t="n">
        <v>30000</v>
      </c>
      <c r="D34" s="24" t="n">
        <v>30000</v>
      </c>
      <c r="E34" s="8" t="inlineStr">
        <is>
          <t>Осознанно немного: на листе «Единица экономики» видно, что при нынешней цене регистрации платное привлечение не окупается ни при одной из трёх цен. Эти 30 тыс — на замер, а не на рост.</t>
        </is>
      </c>
    </row>
    <row r="35" ht="30" customHeight="1">
      <c r="A35" s="6" t="inlineStr">
        <is>
          <t>Прочее (связь, сервисы, банк)</t>
        </is>
      </c>
      <c r="B35" s="24" t="n">
        <v>8000</v>
      </c>
      <c r="C35" s="24" t="n">
        <v>8000</v>
      </c>
      <c r="D35" s="24" t="n">
        <v>8000</v>
      </c>
      <c r="E35" s="8" t="inlineStr">
        <is>
          <t>УТОЧНИТЬ.</t>
        </is>
      </c>
    </row>
    <row r="36">
      <c r="A36" s="3" t="inlineStr">
        <is>
          <t>Команда</t>
        </is>
      </c>
      <c r="B36" s="4" t="n"/>
      <c r="C36" s="4" t="n"/>
      <c r="D36" s="4" t="n"/>
      <c r="E36" s="4" t="n"/>
    </row>
    <row r="37" ht="30" customHeight="1">
      <c r="A37" s="6" t="inlineStr">
        <is>
          <t>Зарплата гендиректора, ₽ в месяц</t>
        </is>
      </c>
      <c r="B37" s="24" t="n">
        <v>0</v>
      </c>
      <c r="C37" s="24" t="n">
        <v>0</v>
      </c>
      <c r="D37" s="24" t="n">
        <v>0</v>
      </c>
      <c r="E37" s="8" t="inlineStr">
        <is>
          <t>ВАШЕ РЕШЕНИЕ: зарплату гендиректору не платим, а взносы за него платим. Ровно так модель и считает — ноль в этой клетке и полная строка взносов ниже. С 01.01.2026 взносы начисляются от МРОТ, даже когда выплат нет вовсе, поэтому отказ от зарплаты больше ничего не экономит — см. лист «Налоги и риски».</t>
        </is>
      </c>
    </row>
    <row r="38" ht="30" customHeight="1">
      <c r="A38" s="6" t="inlineStr">
        <is>
          <t>Остальная команда (подряд, ₽ в месяц)</t>
        </is>
      </c>
      <c r="B38" s="24" t="n">
        <v>0</v>
      </c>
      <c r="C38" s="24" t="n">
        <v>0</v>
      </c>
      <c r="D38" s="24" t="n">
        <v>0</v>
      </c>
      <c r="E38" s="8" t="inlineStr">
        <is>
          <t>Самозанятые и ИП по договорам: взносов нет, но нужен акт и чек по каждой выплате.</t>
        </is>
      </c>
    </row>
    <row r="39" ht="30" customHeight="1">
      <c r="A39" s="6" t="inlineStr">
        <is>
          <t>Месяцев в начале вообще без разработчика</t>
        </is>
      </c>
      <c r="B39" s="26" t="n">
        <v>3</v>
      </c>
      <c r="C39" s="26" t="n">
        <v>3</v>
      </c>
      <c r="D39" s="26" t="n">
        <v>3</v>
      </c>
      <c r="E39" s="8" t="inlineStr">
        <is>
          <t>ВАШЕ РЕШЕНИЕ. Первый квартал обходимся своими силами.</t>
        </is>
      </c>
    </row>
    <row r="40" ht="30" customHeight="1">
      <c r="A40" s="6" t="inlineStr">
        <is>
          <t>Разработчик на аутсорсе, ₽ в месяц (первый этап)</t>
        </is>
      </c>
      <c r="B40" s="24" t="n">
        <v>50000</v>
      </c>
      <c r="C40" s="24" t="n">
        <v>50000</v>
      </c>
      <c r="D40" s="24" t="n">
        <v>50000</v>
      </c>
      <c r="E40" s="8" t="inlineStr">
        <is>
          <t>ВАШЕ РЕШЕНИЕ: девять месяцев по 50 тыс ₽. Взносов нет — это подряд с самозанятым или ИП, а не трудовой договор. Чем это может обернуться, если налоговая посмотрит иначе, — на листе «Налоги и риски».</t>
        </is>
      </c>
    </row>
    <row r="41" ht="30" customHeight="1">
      <c r="A41" s="6" t="inlineStr">
        <is>
          <t>По какой месяц включительно платим первую ставку</t>
        </is>
      </c>
      <c r="B41" s="26" t="n">
        <v>12</v>
      </c>
      <c r="C41" s="26" t="n">
        <v>12</v>
      </c>
      <c r="D41" s="26" t="n">
        <v>12</v>
      </c>
      <c r="E41" s="8" t="inlineStr">
        <is>
          <t>ВАШЕ РЕШЕНИЕ: месяцы с 4-го по 12-й, то есть девять месяцев.</t>
        </is>
      </c>
    </row>
    <row r="42" ht="30" customHeight="1">
      <c r="A42" s="6" t="inlineStr">
        <is>
          <t>Разработчик на аутсорсе, ₽ в месяц (второй этап)</t>
        </is>
      </c>
      <c r="B42" s="24" t="n">
        <v>100000</v>
      </c>
      <c r="C42" s="24" t="n">
        <v>100000</v>
      </c>
      <c r="D42" s="24" t="n">
        <v>100000</v>
      </c>
      <c r="E42" s="8" t="inlineStr">
        <is>
          <t>ВАШЕ РЕШЕНИЕ: с 13-го месяца и дальше. Тоже на аутсорсе, тоже без взносов.</t>
        </is>
      </c>
    </row>
    <row r="43">
      <c r="A43" s="3" t="inlineStr">
        <is>
          <t>Налоги и обязательные платежи (проверено 22.09.2026)</t>
        </is>
      </c>
      <c r="B43" s="4" t="n"/>
      <c r="C43" s="4" t="n"/>
      <c r="D43" s="4" t="n"/>
      <c r="E43" s="4" t="n"/>
    </row>
    <row r="44" ht="30" customHeight="1">
      <c r="A44" s="6" t="inlineStr">
        <is>
          <t>Ставка УСН «доходы минус расходы»</t>
        </is>
      </c>
      <c r="B44" s="25" t="n">
        <v>0.15</v>
      </c>
      <c r="C44" s="25" t="n">
        <v>0.15</v>
      </c>
      <c r="D44" s="25" t="n">
        <v>0.15</v>
      </c>
      <c r="E44" s="8" t="inlineStr">
        <is>
          <t>Ст. 346.20 НК РФ. Регион может снизить до 5% — ПРОВЕРИТЬ закон вашего субъекта.</t>
        </is>
      </c>
    </row>
    <row r="45" ht="30" customHeight="1">
      <c r="A45" s="6" t="inlineStr">
        <is>
          <t>Минимальный налог, % от доходов</t>
        </is>
      </c>
      <c r="B45" s="25" t="n">
        <v>0.01</v>
      </c>
      <c r="C45" s="25" t="n">
        <v>0.01</v>
      </c>
      <c r="D45" s="25" t="n">
        <v>0.01</v>
      </c>
      <c r="E45" s="8" t="inlineStr">
        <is>
          <t>Платится, если налог по ставке вышел меньше 1% доходов или получен убыток.</t>
        </is>
      </c>
    </row>
    <row r="46" ht="30" customHeight="1">
      <c r="A46" s="6" t="inlineStr">
        <is>
          <t>Порог освобождения от НДС, ₽ в год</t>
        </is>
      </c>
      <c r="B46" s="24" t="n">
        <v>20000000</v>
      </c>
      <c r="C46" s="24" t="n">
        <v>20000000</v>
      </c>
      <c r="D46" s="24" t="n">
        <v>20000000</v>
      </c>
      <c r="E46" s="8" t="inlineStr">
        <is>
          <t>Снижен с 60 до 20 млн с 01.01.2026 и заморожен до конца 2029 — ФЗ от 04.07.2026 № 228-ФЗ. Хорошая новость B2C: при таком чеке порог далеко — см. «Единица экономики».</t>
        </is>
      </c>
    </row>
    <row r="47" ht="30" customHeight="1">
      <c r="A47" s="6" t="inlineStr">
        <is>
          <t>Ставка НДС после порога</t>
        </is>
      </c>
      <c r="B47" s="25" t="n">
        <v>0.05</v>
      </c>
      <c r="C47" s="25" t="n">
        <v>0.05</v>
      </c>
      <c r="D47" s="25" t="n">
        <v>0.05</v>
      </c>
      <c r="E47" s="8" t="inlineStr">
        <is>
          <t>5% без права на вычеты при доходе 20–250 млн ₽ либо 22% с вычетами. Нам выгодна 5%: вычитать почти нечего, расходы идут без НДС.</t>
        </is>
      </c>
    </row>
    <row r="48" ht="30" customHeight="1">
      <c r="A48" s="6" t="inlineStr">
        <is>
          <t>МРОТ, ₽ в месяц</t>
        </is>
      </c>
      <c r="B48" s="24" t="n">
        <v>27093</v>
      </c>
      <c r="C48" s="24" t="n">
        <v>27093</v>
      </c>
      <c r="D48" s="24" t="n">
        <v>27093</v>
      </c>
      <c r="E48" s="8" t="inlineStr">
        <is>
          <t>ФЗ от 28.11.2025 № 429-ФЗ.</t>
        </is>
      </c>
    </row>
    <row r="49" ht="30" customHeight="1">
      <c r="A49" s="6" t="inlineStr">
        <is>
          <t>Тариф взносов на выплаты до 1,5 МРОТ</t>
        </is>
      </c>
      <c r="B49" s="25" t="n">
        <v>0.3</v>
      </c>
      <c r="C49" s="25" t="n">
        <v>0.3</v>
      </c>
      <c r="D49" s="25" t="n">
        <v>0.3</v>
      </c>
      <c r="E49" s="8" t="inlineStr">
        <is>
          <t>Льгота МСП 15% действует только на часть СВЫШЕ 1,5 МРОТ (40 640 ₽).</t>
        </is>
      </c>
    </row>
    <row r="50" ht="30" customHeight="1">
      <c r="A50" s="6" t="inlineStr">
        <is>
          <t>Комиссия за приём платежей</t>
        </is>
      </c>
      <c r="B50" s="25" t="n">
        <v>0.03</v>
      </c>
      <c r="C50" s="25" t="n">
        <v>0.03</v>
      </c>
      <c r="D50" s="25" t="n">
        <v>0.03</v>
      </c>
      <c r="E50" s="8" t="inlineStr">
        <is>
          <t>Карты физлиц: 2,5–3,5%. СБП дешевле в разы (0,4–0,7%) — это единственный рычаг в этой строке, и в B2C он заметный: см. «Единица экономики».</t>
        </is>
      </c>
    </row>
    <row r="51">
      <c r="A51" s="3" t="inlineStr">
        <is>
          <t>Стартовые условия</t>
        </is>
      </c>
      <c r="B51" s="4" t="n"/>
      <c r="C51" s="4" t="n"/>
      <c r="D51" s="4" t="n"/>
      <c r="E51" s="4" t="n"/>
    </row>
    <row r="52" ht="30" customHeight="1">
      <c r="A52" s="6" t="inlineStr">
        <is>
          <t>Деньги на старте, ₽</t>
        </is>
      </c>
      <c r="B52" s="24" t="n">
        <v>500000</v>
      </c>
      <c r="C52" s="24" t="n">
        <v>500000</v>
      </c>
      <c r="D52" s="24" t="n">
        <v>500000</v>
      </c>
      <c r="E52" s="8" t="inlineStr">
        <is>
          <t>УТОЧНИТЬ. От этого числа зависит, в каком месяце кончаются деньги.</t>
        </is>
      </c>
    </row>
    <row r="53" ht="30" customHeight="1">
      <c r="A53" s="6" t="inlineStr">
        <is>
          <t>Платящих подписчиков на старте</t>
        </is>
      </c>
      <c r="B53" s="26" t="n">
        <v>0</v>
      </c>
      <c r="C53" s="26" t="n">
        <v>0</v>
      </c>
      <c r="D53" s="26" t="n">
        <v>0</v>
      </c>
      <c r="E53" s="8" t="inlineStr">
        <is>
          <t>Платного доступа сейчас нет ни у кого: 16 аккаунтов — закрытый тест по заявке.</t>
        </is>
      </c>
    </row>
    <row r="55">
      <c r="A55" s="16" t="inlineStr">
        <is>
          <t>Что в модели НЕ учтено — и это сказано нарочно</t>
        </is>
      </c>
    </row>
    <row r="56" ht="30" customHeight="1">
      <c r="A56" s="17" t="inlineStr">
        <is>
          <t>•</t>
        </is>
      </c>
      <c r="B56" s="8" t="inlineStr">
        <is>
          <t>Продажа компаниям. Вы решили начинать с физлиц; лицензия на отдел даёт чек в разы выше, но это другой цикл сделки и другой продавец. Это запас, а не план.</t>
        </is>
      </c>
    </row>
    <row r="57" ht="30" customHeight="1">
      <c r="A57" s="17" t="inlineStr">
        <is>
          <t>•</t>
        </is>
      </c>
      <c r="B57" s="8" t="inlineStr">
        <is>
          <t>Гранты и субсидии для ИТ. Аккредитация Минцифры требует не менее 7 человек в штате.</t>
        </is>
      </c>
    </row>
    <row r="58" ht="30" customHeight="1">
      <c r="A58" s="17" t="inlineStr">
        <is>
          <t>•</t>
        </is>
      </c>
      <c r="B58" s="8" t="inlineStr">
        <is>
          <t>Реклама и партнёрства: на аудитории меньше тысячи человек это не деньги, а отвлечение.</t>
        </is>
      </c>
    </row>
    <row r="59" ht="30" customHeight="1">
      <c r="A59" s="17" t="inlineStr">
        <is>
          <t>•</t>
        </is>
      </c>
      <c r="B59" s="8" t="inlineStr">
        <is>
          <t>Разовые продажи обзоров и выгрузок. Деньги приходят раньше подписки, но выручка неровная и продавать их некому, пока нет аудитории.</t>
        </is>
      </c>
    </row>
  </sheetData>
  <mergeCells count="4">
    <mergeCell ref="B58:E58"/>
    <mergeCell ref="B56:E56"/>
    <mergeCell ref="B57:E57"/>
    <mergeCell ref="B59:E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60" customWidth="1" min="26" max="26"/>
  </cols>
  <sheetData>
    <row r="1">
      <c r="A1" s="1" t="inlineStr">
        <is>
          <t>Расчёт по месяцам — подписка 790 ₽ в месяц</t>
        </is>
      </c>
    </row>
    <row r="2">
      <c r="A2" s="2" t="inlineStr">
        <is>
          <t>Каждая клетка — формула от листа «Допущения», колонка B. Меняете там — меняется здесь.</t>
        </is>
      </c>
    </row>
    <row r="3">
      <c r="A3" s="18" t="inlineStr">
        <is>
          <t>Месяц</t>
        </is>
      </c>
      <c r="B3" s="18" t="inlineStr">
        <is>
          <t>окт 2026</t>
        </is>
      </c>
      <c r="C3" s="18" t="inlineStr">
        <is>
          <t>ноя 2026</t>
        </is>
      </c>
      <c r="D3" s="18" t="inlineStr">
        <is>
          <t>дек 2026</t>
        </is>
      </c>
      <c r="E3" s="18" t="inlineStr">
        <is>
          <t>янв 2027</t>
        </is>
      </c>
      <c r="F3" s="18" t="inlineStr">
        <is>
          <t>фев 2027</t>
        </is>
      </c>
      <c r="G3" s="18" t="inlineStr">
        <is>
          <t>мар 2027</t>
        </is>
      </c>
      <c r="H3" s="18" t="inlineStr">
        <is>
          <t>апр 2027</t>
        </is>
      </c>
      <c r="I3" s="18" t="inlineStr">
        <is>
          <t>май 2027</t>
        </is>
      </c>
      <c r="J3" s="18" t="inlineStr">
        <is>
          <t>июн 2027</t>
        </is>
      </c>
      <c r="K3" s="18" t="inlineStr">
        <is>
          <t>июл 2027</t>
        </is>
      </c>
      <c r="L3" s="18" t="inlineStr">
        <is>
          <t>авг 2027</t>
        </is>
      </c>
      <c r="M3" s="18" t="inlineStr">
        <is>
          <t>сен 2027</t>
        </is>
      </c>
      <c r="N3" s="18" t="inlineStr">
        <is>
          <t>окт 2027</t>
        </is>
      </c>
      <c r="O3" s="18" t="inlineStr">
        <is>
          <t>ноя 2027</t>
        </is>
      </c>
      <c r="P3" s="18" t="inlineStr">
        <is>
          <t>дек 2027</t>
        </is>
      </c>
      <c r="Q3" s="18" t="inlineStr">
        <is>
          <t>янв 2028</t>
        </is>
      </c>
      <c r="R3" s="18" t="inlineStr">
        <is>
          <t>фев 2028</t>
        </is>
      </c>
      <c r="S3" s="18" t="inlineStr">
        <is>
          <t>мар 2028</t>
        </is>
      </c>
      <c r="T3" s="18" t="inlineStr">
        <is>
          <t>апр 2028</t>
        </is>
      </c>
      <c r="U3" s="18" t="inlineStr">
        <is>
          <t>май 2028</t>
        </is>
      </c>
      <c r="V3" s="18" t="inlineStr">
        <is>
          <t>июн 2028</t>
        </is>
      </c>
      <c r="W3" s="18" t="inlineStr">
        <is>
          <t>июл 2028</t>
        </is>
      </c>
      <c r="X3" s="18" t="inlineStr">
        <is>
          <t>авг 2028</t>
        </is>
      </c>
      <c r="Y3" s="18" t="inlineStr">
        <is>
          <t>сен 2028</t>
        </is>
      </c>
    </row>
    <row r="4">
      <c r="A4" s="3" t="inlineStr">
        <is>
          <t>Воронка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>
      <c r="A5" s="17" t="inlineStr">
        <is>
          <t>Зарегистрировано всего (накопленно)</t>
        </is>
      </c>
      <c r="B5" s="11">
        <f>B8</f>
        <v/>
      </c>
      <c r="C5" s="11">
        <f>B5+C8</f>
        <v/>
      </c>
      <c r="D5" s="11">
        <f>C5+D8</f>
        <v/>
      </c>
      <c r="E5" s="11">
        <f>D5+E8</f>
        <v/>
      </c>
      <c r="F5" s="11">
        <f>E5+F8</f>
        <v/>
      </c>
      <c r="G5" s="11">
        <f>F5+G8</f>
        <v/>
      </c>
      <c r="H5" s="11">
        <f>G5+H8</f>
        <v/>
      </c>
      <c r="I5" s="11">
        <f>H5+I8</f>
        <v/>
      </c>
      <c r="J5" s="11">
        <f>I5+J8</f>
        <v/>
      </c>
      <c r="K5" s="11">
        <f>J5+K8</f>
        <v/>
      </c>
      <c r="L5" s="11">
        <f>K5+L8</f>
        <v/>
      </c>
      <c r="M5" s="11">
        <f>L5+M8</f>
        <v/>
      </c>
      <c r="N5" s="11">
        <f>M5+N8</f>
        <v/>
      </c>
      <c r="O5" s="11">
        <f>N5+O8</f>
        <v/>
      </c>
      <c r="P5" s="11">
        <f>O5+P8</f>
        <v/>
      </c>
      <c r="Q5" s="11">
        <f>P5+Q8</f>
        <v/>
      </c>
      <c r="R5" s="11">
        <f>Q5+R8</f>
        <v/>
      </c>
      <c r="S5" s="11">
        <f>R5+S8</f>
        <v/>
      </c>
      <c r="T5" s="11">
        <f>S5+T8</f>
        <v/>
      </c>
      <c r="U5" s="11">
        <f>T5+U8</f>
        <v/>
      </c>
      <c r="V5" s="11">
        <f>U5+V8</f>
        <v/>
      </c>
      <c r="W5" s="11">
        <f>V5+W8</f>
        <v/>
      </c>
      <c r="X5" s="11">
        <f>W5+X8</f>
        <v/>
      </c>
      <c r="Y5" s="11">
        <f>X5+Y8</f>
        <v/>
      </c>
    </row>
    <row r="6">
      <c r="A6" s="17" t="inlineStr">
        <is>
          <t xml:space="preserve">  из них органических за месяц</t>
        </is>
      </c>
      <c r="B6" s="11">
        <f>Допущения!$B$17*(1+Допущения!$B$18)^0</f>
        <v/>
      </c>
      <c r="C6" s="11">
        <f>Допущения!$B$17*(1+Допущения!$B$18)^1</f>
        <v/>
      </c>
      <c r="D6" s="11">
        <f>Допущения!$B$17*(1+Допущения!$B$18)^2</f>
        <v/>
      </c>
      <c r="E6" s="11">
        <f>Допущения!$B$17*(1+Допущения!$B$18)^3</f>
        <v/>
      </c>
      <c r="F6" s="11">
        <f>Допущения!$B$17*(1+Допущения!$B$18)^4</f>
        <v/>
      </c>
      <c r="G6" s="11">
        <f>Допущения!$B$17*(1+Допущения!$B$18)^5</f>
        <v/>
      </c>
      <c r="H6" s="11">
        <f>Допущения!$B$17*(1+Допущения!$B$18)^6</f>
        <v/>
      </c>
      <c r="I6" s="11">
        <f>Допущения!$B$17*(1+Допущения!$B$18)^7</f>
        <v/>
      </c>
      <c r="J6" s="11">
        <f>Допущения!$B$17*(1+Допущения!$B$18)^8</f>
        <v/>
      </c>
      <c r="K6" s="11">
        <f>Допущения!$B$17*(1+Допущения!$B$18)^9</f>
        <v/>
      </c>
      <c r="L6" s="11">
        <f>Допущения!$B$17*(1+Допущения!$B$18)^10</f>
        <v/>
      </c>
      <c r="M6" s="11">
        <f>Допущения!$B$17*(1+Допущения!$B$18)^11</f>
        <v/>
      </c>
      <c r="N6" s="11">
        <f>Допущения!$B$17*(1+Допущения!$B$18)^12</f>
        <v/>
      </c>
      <c r="O6" s="11">
        <f>Допущения!$B$17*(1+Допущения!$B$18)^13</f>
        <v/>
      </c>
      <c r="P6" s="11">
        <f>Допущения!$B$17*(1+Допущения!$B$18)^14</f>
        <v/>
      </c>
      <c r="Q6" s="11">
        <f>Допущения!$B$17*(1+Допущения!$B$18)^15</f>
        <v/>
      </c>
      <c r="R6" s="11">
        <f>Допущения!$B$17*(1+Допущения!$B$18)^16</f>
        <v/>
      </c>
      <c r="S6" s="11">
        <f>Допущения!$B$17*(1+Допущения!$B$18)^17</f>
        <v/>
      </c>
      <c r="T6" s="11">
        <f>Допущения!$B$17*(1+Допущения!$B$18)^18</f>
        <v/>
      </c>
      <c r="U6" s="11">
        <f>Допущения!$B$17*(1+Допущения!$B$18)^19</f>
        <v/>
      </c>
      <c r="V6" s="11">
        <f>Допущения!$B$17*(1+Допущения!$B$18)^20</f>
        <v/>
      </c>
      <c r="W6" s="11">
        <f>Допущения!$B$17*(1+Допущения!$B$18)^21</f>
        <v/>
      </c>
      <c r="X6" s="11">
        <f>Допущения!$B$17*(1+Допущения!$B$18)^22</f>
        <v/>
      </c>
      <c r="Y6" s="11">
        <f>Допущения!$B$17*(1+Допущения!$B$18)^23</f>
        <v/>
      </c>
    </row>
    <row r="7">
      <c r="A7" s="17" t="inlineStr">
        <is>
          <t xml:space="preserve">  из них из платного продвижения</t>
        </is>
      </c>
      <c r="B7" s="11">
        <f>Допущения!$B$34/Допущения!$B$19</f>
        <v/>
      </c>
      <c r="C7" s="11">
        <f>Допущения!$B$34/Допущения!$B$19</f>
        <v/>
      </c>
      <c r="D7" s="11">
        <f>Допущения!$B$34/Допущения!$B$19</f>
        <v/>
      </c>
      <c r="E7" s="11">
        <f>Допущения!$B$34/Допущения!$B$19</f>
        <v/>
      </c>
      <c r="F7" s="11">
        <f>Допущения!$B$34/Допущения!$B$19</f>
        <v/>
      </c>
      <c r="G7" s="11">
        <f>Допущения!$B$34/Допущения!$B$19</f>
        <v/>
      </c>
      <c r="H7" s="11">
        <f>Допущения!$B$34/Допущения!$B$19</f>
        <v/>
      </c>
      <c r="I7" s="11">
        <f>Допущения!$B$34/Допущения!$B$19</f>
        <v/>
      </c>
      <c r="J7" s="11">
        <f>Допущения!$B$34/Допущения!$B$19</f>
        <v/>
      </c>
      <c r="K7" s="11">
        <f>Допущения!$B$34/Допущения!$B$19</f>
        <v/>
      </c>
      <c r="L7" s="11">
        <f>Допущения!$B$34/Допущения!$B$19</f>
        <v/>
      </c>
      <c r="M7" s="11">
        <f>Допущения!$B$34/Допущения!$B$19</f>
        <v/>
      </c>
      <c r="N7" s="11">
        <f>Допущения!$B$34/Допущения!$B$19</f>
        <v/>
      </c>
      <c r="O7" s="11">
        <f>Допущения!$B$34/Допущения!$B$19</f>
        <v/>
      </c>
      <c r="P7" s="11">
        <f>Допущения!$B$34/Допущения!$B$19</f>
        <v/>
      </c>
      <c r="Q7" s="11">
        <f>Допущения!$B$34/Допущения!$B$19</f>
        <v/>
      </c>
      <c r="R7" s="11">
        <f>Допущения!$B$34/Допущения!$B$19</f>
        <v/>
      </c>
      <c r="S7" s="11">
        <f>Допущения!$B$34/Допущения!$B$19</f>
        <v/>
      </c>
      <c r="T7" s="11">
        <f>Допущения!$B$34/Допущения!$B$19</f>
        <v/>
      </c>
      <c r="U7" s="11">
        <f>Допущения!$B$34/Допущения!$B$19</f>
        <v/>
      </c>
      <c r="V7" s="11">
        <f>Допущения!$B$34/Допущения!$B$19</f>
        <v/>
      </c>
      <c r="W7" s="11">
        <f>Допущения!$B$34/Допущения!$B$19</f>
        <v/>
      </c>
      <c r="X7" s="11">
        <f>Допущения!$B$34/Допущения!$B$19</f>
        <v/>
      </c>
      <c r="Y7" s="11">
        <f>Допущения!$B$34/Допущения!$B$19</f>
        <v/>
      </c>
      <c r="Z7" s="8" t="inlineStr">
        <is>
          <t>Бюджет продвижения, делённый на стоимость одной регистрации. Вот здесь деньги превращаются в людей — и здесь же видно, во сколько это обходится.</t>
        </is>
      </c>
    </row>
    <row r="8">
      <c r="A8" s="17" t="inlineStr">
        <is>
          <t>Регистраций за месяц</t>
        </is>
      </c>
      <c r="B8" s="11">
        <f>ROUND((B6+B7)*1,0)</f>
        <v/>
      </c>
      <c r="C8" s="11">
        <f>ROUND((C6+C7)*MAX(0,1-B5/Допущения!$B$15),0)</f>
        <v/>
      </c>
      <c r="D8" s="11">
        <f>ROUND((D6+D7)*MAX(0,1-C5/Допущения!$B$15),0)</f>
        <v/>
      </c>
      <c r="E8" s="11">
        <f>ROUND((E6+E7)*MAX(0,1-D5/Допущения!$B$15),0)</f>
        <v/>
      </c>
      <c r="F8" s="11">
        <f>ROUND((F6+F7)*MAX(0,1-E5/Допущения!$B$15),0)</f>
        <v/>
      </c>
      <c r="G8" s="11">
        <f>ROUND((G6+G7)*MAX(0,1-F5/Допущения!$B$15),0)</f>
        <v/>
      </c>
      <c r="H8" s="11">
        <f>ROUND((H6+H7)*MAX(0,1-G5/Допущения!$B$15),0)</f>
        <v/>
      </c>
      <c r="I8" s="11">
        <f>ROUND((I6+I7)*MAX(0,1-H5/Допущения!$B$15),0)</f>
        <v/>
      </c>
      <c r="J8" s="11">
        <f>ROUND((J6+J7)*MAX(0,1-I5/Допущения!$B$15),0)</f>
        <v/>
      </c>
      <c r="K8" s="11">
        <f>ROUND((K6+K7)*MAX(0,1-J5/Допущения!$B$15),0)</f>
        <v/>
      </c>
      <c r="L8" s="11">
        <f>ROUND((L6+L7)*MAX(0,1-K5/Допущения!$B$15),0)</f>
        <v/>
      </c>
      <c r="M8" s="11">
        <f>ROUND((M6+M7)*MAX(0,1-L5/Допущения!$B$15),0)</f>
        <v/>
      </c>
      <c r="N8" s="11">
        <f>ROUND((N6+N7)*MAX(0,1-M5/Допущения!$B$15),0)</f>
        <v/>
      </c>
      <c r="O8" s="11">
        <f>ROUND((O6+O7)*MAX(0,1-N5/Допущения!$B$15),0)</f>
        <v/>
      </c>
      <c r="P8" s="11">
        <f>ROUND((P6+P7)*MAX(0,1-O5/Допущения!$B$15),0)</f>
        <v/>
      </c>
      <c r="Q8" s="11">
        <f>ROUND((Q6+Q7)*MAX(0,1-P5/Допущения!$B$15),0)</f>
        <v/>
      </c>
      <c r="R8" s="11">
        <f>ROUND((R6+R7)*MAX(0,1-Q5/Допущения!$B$15),0)</f>
        <v/>
      </c>
      <c r="S8" s="11">
        <f>ROUND((S6+S7)*MAX(0,1-R5/Допущения!$B$15),0)</f>
        <v/>
      </c>
      <c r="T8" s="11">
        <f>ROUND((T6+T7)*MAX(0,1-S5/Допущения!$B$15),0)</f>
        <v/>
      </c>
      <c r="U8" s="11">
        <f>ROUND((U6+U7)*MAX(0,1-T5/Допущения!$B$15),0)</f>
        <v/>
      </c>
      <c r="V8" s="11">
        <f>ROUND((V6+V7)*MAX(0,1-U5/Допущения!$B$15),0)</f>
        <v/>
      </c>
      <c r="W8" s="11">
        <f>ROUND((W6+W7)*MAX(0,1-V5/Допущения!$B$15),0)</f>
        <v/>
      </c>
      <c r="X8" s="11">
        <f>ROUND((X6+X7)*MAX(0,1-W5/Допущения!$B$15),0)</f>
        <v/>
      </c>
      <c r="Y8" s="11">
        <f>ROUND((Y6+Y7)*MAX(0,1-X5/Допущения!$B$15),0)</f>
        <v/>
      </c>
      <c r="Z8" s="8" t="inlineStr">
        <is>
          <t>Рост гасится по мере заполнения рынка: множитель «сколько ещё осталось незарегистрированных» из потолка. Без него экспонента обещает рост, которому неоткуда взяться.</t>
        </is>
      </c>
    </row>
    <row r="9">
      <c r="A9" s="17" t="inlineStr">
        <is>
          <t>Новых платящих за месяц</t>
        </is>
      </c>
      <c r="B9" s="11">
        <f>IFERROR(ROUND(INDEX($B$8:$Y$8,1,COLUMN()-1-Допущения!$B$21)*Допущения!$B$20,0),0)</f>
        <v/>
      </c>
      <c r="C9" s="11">
        <f>IFERROR(ROUND(INDEX($B$8:$Y$8,1,COLUMN()-1-Допущения!$B$21)*Допущения!$B$20,0),0)</f>
        <v/>
      </c>
      <c r="D9" s="11">
        <f>IFERROR(ROUND(INDEX($B$8:$Y$8,1,COLUMN()-1-Допущения!$B$21)*Допущения!$B$20,0),0)</f>
        <v/>
      </c>
      <c r="E9" s="11">
        <f>IFERROR(ROUND(INDEX($B$8:$Y$8,1,COLUMN()-1-Допущения!$B$21)*Допущения!$B$20,0),0)</f>
        <v/>
      </c>
      <c r="F9" s="11">
        <f>IFERROR(ROUND(INDEX($B$8:$Y$8,1,COLUMN()-1-Допущения!$B$21)*Допущения!$B$20,0),0)</f>
        <v/>
      </c>
      <c r="G9" s="11">
        <f>IFERROR(ROUND(INDEX($B$8:$Y$8,1,COLUMN()-1-Допущения!$B$21)*Допущения!$B$20,0),0)</f>
        <v/>
      </c>
      <c r="H9" s="11">
        <f>IFERROR(ROUND(INDEX($B$8:$Y$8,1,COLUMN()-1-Допущения!$B$21)*Допущения!$B$20,0),0)</f>
        <v/>
      </c>
      <c r="I9" s="11">
        <f>IFERROR(ROUND(INDEX($B$8:$Y$8,1,COLUMN()-1-Допущения!$B$21)*Допущения!$B$20,0),0)</f>
        <v/>
      </c>
      <c r="J9" s="11">
        <f>IFERROR(ROUND(INDEX($B$8:$Y$8,1,COLUMN()-1-Допущения!$B$21)*Допущения!$B$20,0),0)</f>
        <v/>
      </c>
      <c r="K9" s="11">
        <f>IFERROR(ROUND(INDEX($B$8:$Y$8,1,COLUMN()-1-Допущения!$B$21)*Допущения!$B$20,0),0)</f>
        <v/>
      </c>
      <c r="L9" s="11">
        <f>IFERROR(ROUND(INDEX($B$8:$Y$8,1,COLUMN()-1-Допущения!$B$21)*Допущения!$B$20,0),0)</f>
        <v/>
      </c>
      <c r="M9" s="11">
        <f>IFERROR(ROUND(INDEX($B$8:$Y$8,1,COLUMN()-1-Допущения!$B$21)*Допущения!$B$20,0),0)</f>
        <v/>
      </c>
      <c r="N9" s="11">
        <f>IFERROR(ROUND(INDEX($B$8:$Y$8,1,COLUMN()-1-Допущения!$B$21)*Допущения!$B$20,0),0)</f>
        <v/>
      </c>
      <c r="O9" s="11">
        <f>IFERROR(ROUND(INDEX($B$8:$Y$8,1,COLUMN()-1-Допущения!$B$21)*Допущения!$B$20,0),0)</f>
        <v/>
      </c>
      <c r="P9" s="11">
        <f>IFERROR(ROUND(INDEX($B$8:$Y$8,1,COLUMN()-1-Допущения!$B$21)*Допущения!$B$20,0),0)</f>
        <v/>
      </c>
      <c r="Q9" s="11">
        <f>IFERROR(ROUND(INDEX($B$8:$Y$8,1,COLUMN()-1-Допущения!$B$21)*Допущения!$B$20,0),0)</f>
        <v/>
      </c>
      <c r="R9" s="11">
        <f>IFERROR(ROUND(INDEX($B$8:$Y$8,1,COLUMN()-1-Допущения!$B$21)*Допущения!$B$20,0),0)</f>
        <v/>
      </c>
      <c r="S9" s="11">
        <f>IFERROR(ROUND(INDEX($B$8:$Y$8,1,COLUMN()-1-Допущения!$B$21)*Допущения!$B$20,0),0)</f>
        <v/>
      </c>
      <c r="T9" s="11">
        <f>IFERROR(ROUND(INDEX($B$8:$Y$8,1,COLUMN()-1-Допущения!$B$21)*Допущения!$B$20,0),0)</f>
        <v/>
      </c>
      <c r="U9" s="11">
        <f>IFERROR(ROUND(INDEX($B$8:$Y$8,1,COLUMN()-1-Допущения!$B$21)*Допущения!$B$20,0),0)</f>
        <v/>
      </c>
      <c r="V9" s="11">
        <f>IFERROR(ROUND(INDEX($B$8:$Y$8,1,COLUMN()-1-Допущения!$B$21)*Допущения!$B$20,0),0)</f>
        <v/>
      </c>
      <c r="W9" s="11">
        <f>IFERROR(ROUND(INDEX($B$8:$Y$8,1,COLUMN()-1-Допущения!$B$21)*Допущения!$B$20,0),0)</f>
        <v/>
      </c>
      <c r="X9" s="11">
        <f>IFERROR(ROUND(INDEX($B$8:$Y$8,1,COLUMN()-1-Допущения!$B$21)*Допущения!$B$20,0),0)</f>
        <v/>
      </c>
      <c r="Y9" s="11">
        <f>IFERROR(ROUND(INDEX($B$8:$Y$8,1,COLUMN()-1-Допущения!$B$21)*Допущения!$B$20,0),0)</f>
        <v/>
      </c>
      <c r="Z9" s="8" t="inlineStr">
        <is>
          <t>Регистрация превращается в оплату не сразу: воронка с задержкой из допущений.</t>
        </is>
      </c>
    </row>
    <row r="10">
      <c r="A10" s="17" t="inlineStr">
        <is>
          <t>Платящих всего на конец месяца</t>
        </is>
      </c>
      <c r="B10" s="11">
        <f>MIN(Допущения!$B$53+B9,Допущения!$B$15*Допущения!$B$16)</f>
        <v/>
      </c>
      <c r="C10" s="11">
        <f>MIN(B10*(1-Допущения!$B$12*(1-Допущения!$B$10*1/24))+C9,Допущения!$B$15*Допущения!$B$16)</f>
        <v/>
      </c>
      <c r="D10" s="11">
        <f>MIN(C10*(1-Допущения!$B$12*(1-Допущения!$B$10*2/24))+D9,Допущения!$B$15*Допущения!$B$16)</f>
        <v/>
      </c>
      <c r="E10" s="11">
        <f>MIN(D10*(1-Допущения!$B$12*(1-Допущения!$B$10*3/24))+E9,Допущения!$B$15*Допущения!$B$16)</f>
        <v/>
      </c>
      <c r="F10" s="11">
        <f>MIN(E10*(1-Допущения!$B$12*(1-Допущения!$B$10*4/24))+F9,Допущения!$B$15*Допущения!$B$16)</f>
        <v/>
      </c>
      <c r="G10" s="11">
        <f>MIN(F10*(1-Допущения!$B$12*(1-Допущения!$B$10*5/24))+G9,Допущения!$B$15*Допущения!$B$16)</f>
        <v/>
      </c>
      <c r="H10" s="11">
        <f>MIN(G10*(1-Допущения!$B$12*(1-Допущения!$B$10*6/24))+H9,Допущения!$B$15*Допущения!$B$16)</f>
        <v/>
      </c>
      <c r="I10" s="11">
        <f>MIN(H10*(1-Допущения!$B$12*(1-Допущения!$B$10*7/24))+I9,Допущения!$B$15*Допущения!$B$16)</f>
        <v/>
      </c>
      <c r="J10" s="11">
        <f>MIN(I10*(1-Допущения!$B$12*(1-Допущения!$B$10*8/24))+J9,Допущения!$B$15*Допущения!$B$16)</f>
        <v/>
      </c>
      <c r="K10" s="11">
        <f>MIN(J10*(1-Допущения!$B$12*(1-Допущения!$B$10*9/24))+K9,Допущения!$B$15*Допущения!$B$16)</f>
        <v/>
      </c>
      <c r="L10" s="11">
        <f>MIN(K10*(1-Допущения!$B$12*(1-Допущения!$B$10*10/24))+L9,Допущения!$B$15*Допущения!$B$16)</f>
        <v/>
      </c>
      <c r="M10" s="11">
        <f>MIN(L10*(1-Допущения!$B$12*(1-Допущения!$B$10*11/24))+M9,Допущения!$B$15*Допущения!$B$16)</f>
        <v/>
      </c>
      <c r="N10" s="11">
        <f>MIN(M10*(1-Допущения!$B$12*(1-Допущения!$B$10*12/24))+N9,Допущения!$B$15*Допущения!$B$16)</f>
        <v/>
      </c>
      <c r="O10" s="11">
        <f>MIN(N10*(1-Допущения!$B$12*(1-Допущения!$B$10*13/24))+O9,Допущения!$B$15*Допущения!$B$16)</f>
        <v/>
      </c>
      <c r="P10" s="11">
        <f>MIN(O10*(1-Допущения!$B$12*(1-Допущения!$B$10*14/24))+P9,Допущения!$B$15*Допущения!$B$16)</f>
        <v/>
      </c>
      <c r="Q10" s="11">
        <f>MIN(P10*(1-Допущения!$B$12*(1-Допущения!$B$10*15/24))+Q9,Допущения!$B$15*Допущения!$B$16)</f>
        <v/>
      </c>
      <c r="R10" s="11">
        <f>MIN(Q10*(1-Допущения!$B$12*(1-Допущения!$B$10*16/24))+R9,Допущения!$B$15*Допущения!$B$16)</f>
        <v/>
      </c>
      <c r="S10" s="11">
        <f>MIN(R10*(1-Допущения!$B$12*(1-Допущения!$B$10*17/24))+S9,Допущения!$B$15*Допущения!$B$16)</f>
        <v/>
      </c>
      <c r="T10" s="11">
        <f>MIN(S10*(1-Допущения!$B$12*(1-Допущения!$B$10*18/24))+T9,Допущения!$B$15*Допущения!$B$16)</f>
        <v/>
      </c>
      <c r="U10" s="11">
        <f>MIN(T10*(1-Допущения!$B$12*(1-Допущения!$B$10*19/24))+U9,Допущения!$B$15*Допущения!$B$16)</f>
        <v/>
      </c>
      <c r="V10" s="11">
        <f>MIN(U10*(1-Допущения!$B$12*(1-Допущения!$B$10*20/24))+V9,Допущения!$B$15*Допущения!$B$16)</f>
        <v/>
      </c>
      <c r="W10" s="11">
        <f>MIN(V10*(1-Допущения!$B$12*(1-Допущения!$B$10*21/24))+W9,Допущения!$B$15*Допущения!$B$16)</f>
        <v/>
      </c>
      <c r="X10" s="11">
        <f>MIN(W10*(1-Допущения!$B$12*(1-Допущения!$B$10*22/24))+X9,Допущения!$B$15*Допущения!$B$16)</f>
        <v/>
      </c>
      <c r="Y10" s="11">
        <f>MIN(X10*(1-Допущения!$B$12*(1-Допущения!$B$10*23/24))+Y9,Допущения!$B$15*Допущения!$B$16)</f>
        <v/>
      </c>
      <c r="Z10" s="8" t="inlineStr">
        <is>
          <t>Годовые подписки не отваливаются помесячно — доля годовых растёт линейно и гасит отток.</t>
        </is>
      </c>
    </row>
    <row r="11">
      <c r="A11" s="3" t="inlineStr">
        <is>
          <t>Выручка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>
      <c r="A12" s="17" t="inlineStr">
        <is>
          <t>Выручка за месяц</t>
        </is>
      </c>
      <c r="B12" s="7">
        <f>B10*(Допущения!$B$8*(1-Допущения!$B$10*0/24)+Допущения!$B$9/12*Допущения!$B$10*0/24)</f>
        <v/>
      </c>
      <c r="C12" s="7">
        <f>C10*(Допущения!$B$8*(1-Допущения!$B$10*1/24)+Допущения!$B$9/12*Допущения!$B$10*1/24)</f>
        <v/>
      </c>
      <c r="D12" s="7">
        <f>D10*(Допущения!$B$8*(1-Допущения!$B$10*2/24)+Допущения!$B$9/12*Допущения!$B$10*2/24)</f>
        <v/>
      </c>
      <c r="E12" s="7">
        <f>E10*(Допущения!$B$8*(1-Допущения!$B$10*3/24)+Допущения!$B$9/12*Допущения!$B$10*3/24)</f>
        <v/>
      </c>
      <c r="F12" s="7">
        <f>F10*(Допущения!$B$8*(1-Допущения!$B$10*4/24)+Допущения!$B$9/12*Допущения!$B$10*4/24)</f>
        <v/>
      </c>
      <c r="G12" s="7">
        <f>G10*(Допущения!$B$8*(1-Допущения!$B$10*5/24)+Допущения!$B$9/12*Допущения!$B$10*5/24)</f>
        <v/>
      </c>
      <c r="H12" s="7">
        <f>H10*(Допущения!$B$8*(1-Допущения!$B$10*6/24)+Допущения!$B$9/12*Допущения!$B$10*6/24)</f>
        <v/>
      </c>
      <c r="I12" s="7">
        <f>I10*(Допущения!$B$8*(1-Допущения!$B$10*7/24)+Допущения!$B$9/12*Допущения!$B$10*7/24)</f>
        <v/>
      </c>
      <c r="J12" s="7">
        <f>J10*(Допущения!$B$8*(1-Допущения!$B$10*8/24)+Допущения!$B$9/12*Допущения!$B$10*8/24)</f>
        <v/>
      </c>
      <c r="K12" s="7">
        <f>K10*(Допущения!$B$8*(1-Допущения!$B$10*9/24)+Допущения!$B$9/12*Допущения!$B$10*9/24)</f>
        <v/>
      </c>
      <c r="L12" s="7">
        <f>L10*(Допущения!$B$8*(1-Допущения!$B$10*10/24)+Допущения!$B$9/12*Допущения!$B$10*10/24)</f>
        <v/>
      </c>
      <c r="M12" s="7">
        <f>M10*(Допущения!$B$8*(1-Допущения!$B$10*11/24)+Допущения!$B$9/12*Допущения!$B$10*11/24)</f>
        <v/>
      </c>
      <c r="N12" s="7">
        <f>N10*(Допущения!$B$8*(1-Допущения!$B$10*12/24)+Допущения!$B$9/12*Допущения!$B$10*12/24)</f>
        <v/>
      </c>
      <c r="O12" s="7">
        <f>O10*(Допущения!$B$8*(1-Допущения!$B$10*13/24)+Допущения!$B$9/12*Допущения!$B$10*13/24)</f>
        <v/>
      </c>
      <c r="P12" s="7">
        <f>P10*(Допущения!$B$8*(1-Допущения!$B$10*14/24)+Допущения!$B$9/12*Допущения!$B$10*14/24)</f>
        <v/>
      </c>
      <c r="Q12" s="7">
        <f>Q10*(Допущения!$B$8*(1-Допущения!$B$10*15/24)+Допущения!$B$9/12*Допущения!$B$10*15/24)</f>
        <v/>
      </c>
      <c r="R12" s="7">
        <f>R10*(Допущения!$B$8*(1-Допущения!$B$10*16/24)+Допущения!$B$9/12*Допущения!$B$10*16/24)</f>
        <v/>
      </c>
      <c r="S12" s="7">
        <f>S10*(Допущения!$B$8*(1-Допущения!$B$10*17/24)+Допущения!$B$9/12*Допущения!$B$10*17/24)</f>
        <v/>
      </c>
      <c r="T12" s="7">
        <f>T10*(Допущения!$B$8*(1-Допущения!$B$10*18/24)+Допущения!$B$9/12*Допущения!$B$10*18/24)</f>
        <v/>
      </c>
      <c r="U12" s="7">
        <f>U10*(Допущения!$B$8*(1-Допущения!$B$10*19/24)+Допущения!$B$9/12*Допущения!$B$10*19/24)</f>
        <v/>
      </c>
      <c r="V12" s="7">
        <f>V10*(Допущения!$B$8*(1-Допущения!$B$10*20/24)+Допущения!$B$9/12*Допущения!$B$10*20/24)</f>
        <v/>
      </c>
      <c r="W12" s="7">
        <f>W10*(Допущения!$B$8*(1-Допущения!$B$10*21/24)+Допущения!$B$9/12*Допущения!$B$10*21/24)</f>
        <v/>
      </c>
      <c r="X12" s="7">
        <f>X10*(Допущения!$B$8*(1-Допущения!$B$10*22/24)+Допущения!$B$9/12*Допущения!$B$10*22/24)</f>
        <v/>
      </c>
      <c r="Y12" s="7">
        <f>Y10*(Допущения!$B$8*(1-Допущения!$B$10*23/24)+Допущения!$B$9/12*Допущения!$B$10*23/24)</f>
        <v/>
      </c>
      <c r="Z12" s="8" t="inlineStr">
        <is>
          <t>Годовая подписка признаётся равномерно (1/12 в месяц) — так честнее для P&amp;L. Деньгами она приходит сразу, это видно в строке ниже.</t>
        </is>
      </c>
    </row>
    <row r="13">
      <c r="A13" s="17" t="inlineStr">
        <is>
          <t>Поступило денег за месяц</t>
        </is>
      </c>
      <c r="B13" s="7">
        <f>B12+B9*Допущения!$B$10*0/24*(Допущения!$B$9-Допущения!$B$9/12)</f>
        <v/>
      </c>
      <c r="C13" s="7">
        <f>C12+C9*Допущения!$B$10*1/24*(Допущения!$B$9-Допущения!$B$9/12)</f>
        <v/>
      </c>
      <c r="D13" s="7">
        <f>D12+D9*Допущения!$B$10*2/24*(Допущения!$B$9-Допущения!$B$9/12)</f>
        <v/>
      </c>
      <c r="E13" s="7">
        <f>E12+E9*Допущения!$B$10*3/24*(Допущения!$B$9-Допущения!$B$9/12)</f>
        <v/>
      </c>
      <c r="F13" s="7">
        <f>F12+F9*Допущения!$B$10*4/24*(Допущения!$B$9-Допущения!$B$9/12)</f>
        <v/>
      </c>
      <c r="G13" s="7">
        <f>G12+G9*Допущения!$B$10*5/24*(Допущения!$B$9-Допущения!$B$9/12)</f>
        <v/>
      </c>
      <c r="H13" s="7">
        <f>H12+H9*Допущения!$B$10*6/24*(Допущения!$B$9-Допущения!$B$9/12)</f>
        <v/>
      </c>
      <c r="I13" s="7">
        <f>I12+I9*Допущения!$B$10*7/24*(Допущения!$B$9-Допущения!$B$9/12)</f>
        <v/>
      </c>
      <c r="J13" s="7">
        <f>J12+J9*Допущения!$B$10*8/24*(Допущения!$B$9-Допущения!$B$9/12)</f>
        <v/>
      </c>
      <c r="K13" s="7">
        <f>K12+K9*Допущения!$B$10*9/24*(Допущения!$B$9-Допущения!$B$9/12)</f>
        <v/>
      </c>
      <c r="L13" s="7">
        <f>L12+L9*Допущения!$B$10*10/24*(Допущения!$B$9-Допущения!$B$9/12)</f>
        <v/>
      </c>
      <c r="M13" s="7">
        <f>M12+M9*Допущения!$B$10*11/24*(Допущения!$B$9-Допущения!$B$9/12)</f>
        <v/>
      </c>
      <c r="N13" s="7">
        <f>N12+N9*Допущения!$B$10*12/24*(Допущения!$B$9-Допущения!$B$9/12)</f>
        <v/>
      </c>
      <c r="O13" s="7">
        <f>O12+O9*Допущения!$B$10*13/24*(Допущения!$B$9-Допущения!$B$9/12)</f>
        <v/>
      </c>
      <c r="P13" s="7">
        <f>P12+P9*Допущения!$B$10*14/24*(Допущения!$B$9-Допущения!$B$9/12)</f>
        <v/>
      </c>
      <c r="Q13" s="7">
        <f>Q12+Q9*Допущения!$B$10*15/24*(Допущения!$B$9-Допущения!$B$9/12)</f>
        <v/>
      </c>
      <c r="R13" s="7">
        <f>R12+R9*Допущения!$B$10*16/24*(Допущения!$B$9-Допущения!$B$9/12)</f>
        <v/>
      </c>
      <c r="S13" s="7">
        <f>S12+S9*Допущения!$B$10*17/24*(Допущения!$B$9-Допущения!$B$9/12)</f>
        <v/>
      </c>
      <c r="T13" s="7">
        <f>T12+T9*Допущения!$B$10*18/24*(Допущения!$B$9-Допущения!$B$9/12)</f>
        <v/>
      </c>
      <c r="U13" s="7">
        <f>U12+U9*Допущения!$B$10*19/24*(Допущения!$B$9-Допущения!$B$9/12)</f>
        <v/>
      </c>
      <c r="V13" s="7">
        <f>V12+V9*Допущения!$B$10*20/24*(Допущения!$B$9-Допущения!$B$9/12)</f>
        <v/>
      </c>
      <c r="W13" s="7">
        <f>W12+W9*Допущения!$B$10*21/24*(Допущения!$B$9-Допущения!$B$9/12)</f>
        <v/>
      </c>
      <c r="X13" s="7">
        <f>X12+X9*Допущения!$B$10*22/24*(Допущения!$B$9-Допущения!$B$9/12)</f>
        <v/>
      </c>
      <c r="Y13" s="7">
        <f>Y12+Y9*Допущения!$B$10*23/24*(Допущения!$B$9-Допущения!$B$9/12)</f>
        <v/>
      </c>
      <c r="Z13" s="8" t="inlineStr">
        <is>
          <t>Годовые подписчики платят за год вперёд: в месяц продажи приходит вся сумма.</t>
        </is>
      </c>
    </row>
    <row r="14">
      <c r="A14" s="3" t="inlineStr">
        <is>
          <t>Расходы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>
      <c r="A15" s="17" t="inlineStr">
        <is>
          <t>Хостинг Timeweb</t>
        </is>
      </c>
      <c r="B15" s="7">
        <f>Допущения!$B$23</f>
        <v/>
      </c>
      <c r="C15" s="7">
        <f>Допущения!$B$23</f>
        <v/>
      </c>
      <c r="D15" s="7">
        <f>Допущения!$B$23</f>
        <v/>
      </c>
      <c r="E15" s="7">
        <f>Допущения!$B$23</f>
        <v/>
      </c>
      <c r="F15" s="7">
        <f>Допущения!$B$23</f>
        <v/>
      </c>
      <c r="G15" s="7">
        <f>Допущения!$B$23</f>
        <v/>
      </c>
      <c r="H15" s="7">
        <f>Допущения!$B$23</f>
        <v/>
      </c>
      <c r="I15" s="7">
        <f>Допущения!$B$23</f>
        <v/>
      </c>
      <c r="J15" s="7">
        <f>Допущения!$B$23</f>
        <v/>
      </c>
      <c r="K15" s="7">
        <f>Допущения!$B$23</f>
        <v/>
      </c>
      <c r="L15" s="7">
        <f>Допущения!$B$23</f>
        <v/>
      </c>
      <c r="M15" s="7">
        <f>Допущения!$B$23</f>
        <v/>
      </c>
      <c r="N15" s="7">
        <f>Допущения!$B$23</f>
        <v/>
      </c>
      <c r="O15" s="7">
        <f>Допущения!$B$23</f>
        <v/>
      </c>
      <c r="P15" s="7">
        <f>Допущения!$B$23</f>
        <v/>
      </c>
      <c r="Q15" s="7">
        <f>Допущения!$B$23</f>
        <v/>
      </c>
      <c r="R15" s="7">
        <f>Допущения!$B$23</f>
        <v/>
      </c>
      <c r="S15" s="7">
        <f>Допущения!$B$23</f>
        <v/>
      </c>
      <c r="T15" s="7">
        <f>Допущения!$B$23</f>
        <v/>
      </c>
      <c r="U15" s="7">
        <f>Допущения!$B$23</f>
        <v/>
      </c>
      <c r="V15" s="7">
        <f>Допущения!$B$23</f>
        <v/>
      </c>
      <c r="W15" s="7">
        <f>Допущения!$B$23</f>
        <v/>
      </c>
      <c r="X15" s="7">
        <f>Допущения!$B$23</f>
        <v/>
      </c>
      <c r="Y15" s="7">
        <f>Допущения!$B$23</f>
        <v/>
      </c>
    </row>
    <row r="16">
      <c r="A16" s="17" t="inlineStr">
        <is>
          <t>Yandex.Cloud</t>
        </is>
      </c>
      <c r="B16" s="7">
        <f>Допущения!$B$24+B10*Допущения!$B$28</f>
        <v/>
      </c>
      <c r="C16" s="7">
        <f>Допущения!$B$24+C10*Допущения!$B$28</f>
        <v/>
      </c>
      <c r="D16" s="7">
        <f>Допущения!$B$24+D10*Допущения!$B$28</f>
        <v/>
      </c>
      <c r="E16" s="7">
        <f>Допущения!$B$24+E10*Допущения!$B$28</f>
        <v/>
      </c>
      <c r="F16" s="7">
        <f>Допущения!$B$24+F10*Допущения!$B$28</f>
        <v/>
      </c>
      <c r="G16" s="7">
        <f>Допущения!$B$24+G10*Допущения!$B$28</f>
        <v/>
      </c>
      <c r="H16" s="7">
        <f>Допущения!$B$24+H10*Допущения!$B$28</f>
        <v/>
      </c>
      <c r="I16" s="7">
        <f>Допущения!$B$24+I10*Допущения!$B$28</f>
        <v/>
      </c>
      <c r="J16" s="7">
        <f>Допущения!$B$24+J10*Допущения!$B$28</f>
        <v/>
      </c>
      <c r="K16" s="7">
        <f>Допущения!$B$24+K10*Допущения!$B$28</f>
        <v/>
      </c>
      <c r="L16" s="7">
        <f>Допущения!$B$24+L10*Допущения!$B$28</f>
        <v/>
      </c>
      <c r="M16" s="7">
        <f>Допущения!$B$24+M10*Допущения!$B$28</f>
        <v/>
      </c>
      <c r="N16" s="7">
        <f>Допущения!$B$24+N10*Допущения!$B$28</f>
        <v/>
      </c>
      <c r="O16" s="7">
        <f>Допущения!$B$24+O10*Допущения!$B$28</f>
        <v/>
      </c>
      <c r="P16" s="7">
        <f>Допущения!$B$24+P10*Допущения!$B$28</f>
        <v/>
      </c>
      <c r="Q16" s="7">
        <f>Допущения!$B$24+Q10*Допущения!$B$28</f>
        <v/>
      </c>
      <c r="R16" s="7">
        <f>Допущения!$B$24+R10*Допущения!$B$28</f>
        <v/>
      </c>
      <c r="S16" s="7">
        <f>Допущения!$B$24+S10*Допущения!$B$28</f>
        <v/>
      </c>
      <c r="T16" s="7">
        <f>Допущения!$B$24+T10*Допущения!$B$28</f>
        <v/>
      </c>
      <c r="U16" s="7">
        <f>Допущения!$B$24+U10*Допущения!$B$28</f>
        <v/>
      </c>
      <c r="V16" s="7">
        <f>Допущения!$B$24+V10*Допущения!$B$28</f>
        <v/>
      </c>
      <c r="W16" s="7">
        <f>Допущения!$B$24+W10*Допущения!$B$28</f>
        <v/>
      </c>
      <c r="X16" s="7">
        <f>Допущения!$B$24+X10*Допущения!$B$28</f>
        <v/>
      </c>
      <c r="Y16" s="7">
        <f>Допущения!$B$24+Y10*Допущения!$B$28</f>
        <v/>
      </c>
      <c r="Z16" s="8" t="inlineStr">
        <is>
          <t>Счёт облака плюс переменная часть на каждого платящего подписчика.</t>
        </is>
      </c>
    </row>
    <row r="17">
      <c r="A17" s="17" t="inlineStr">
        <is>
          <t>Claude (разработка)</t>
        </is>
      </c>
      <c r="B17" s="7">
        <f>Допущения!$B$25</f>
        <v/>
      </c>
      <c r="C17" s="7">
        <f>Допущения!$B$25</f>
        <v/>
      </c>
      <c r="D17" s="7">
        <f>Допущения!$B$25</f>
        <v/>
      </c>
      <c r="E17" s="7">
        <f>Допущения!$B$25</f>
        <v/>
      </c>
      <c r="F17" s="7">
        <f>Допущения!$B$25</f>
        <v/>
      </c>
      <c r="G17" s="7">
        <f>Допущения!$B$25</f>
        <v/>
      </c>
      <c r="H17" s="7">
        <f>Допущения!$B$25</f>
        <v/>
      </c>
      <c r="I17" s="7">
        <f>Допущения!$B$25</f>
        <v/>
      </c>
      <c r="J17" s="7">
        <f>Допущения!$B$25</f>
        <v/>
      </c>
      <c r="K17" s="7">
        <f>Допущения!$B$25</f>
        <v/>
      </c>
      <c r="L17" s="7">
        <f>Допущения!$B$25</f>
        <v/>
      </c>
      <c r="M17" s="7">
        <f>Допущения!$B$25</f>
        <v/>
      </c>
      <c r="N17" s="7">
        <f>Допущения!$B$25</f>
        <v/>
      </c>
      <c r="O17" s="7">
        <f>Допущения!$B$25</f>
        <v/>
      </c>
      <c r="P17" s="7">
        <f>Допущения!$B$25</f>
        <v/>
      </c>
      <c r="Q17" s="7">
        <f>Допущения!$B$25</f>
        <v/>
      </c>
      <c r="R17" s="7">
        <f>Допущения!$B$25</f>
        <v/>
      </c>
      <c r="S17" s="7">
        <f>Допущения!$B$25</f>
        <v/>
      </c>
      <c r="T17" s="7">
        <f>Допущения!$B$25</f>
        <v/>
      </c>
      <c r="U17" s="7">
        <f>Допущения!$B$25</f>
        <v/>
      </c>
      <c r="V17" s="7">
        <f>Допущения!$B$25</f>
        <v/>
      </c>
      <c r="W17" s="7">
        <f>Допущения!$B$25</f>
        <v/>
      </c>
      <c r="X17" s="7">
        <f>Допущения!$B$25</f>
        <v/>
      </c>
      <c r="Y17" s="7">
        <f>Допущения!$B$25</f>
        <v/>
      </c>
    </row>
    <row r="18">
      <c r="A18" s="17" t="inlineStr">
        <is>
          <t>API-ФНС</t>
        </is>
      </c>
      <c r="B18" s="7">
        <f>Допущения!$B$30</f>
        <v/>
      </c>
      <c r="C18" s="7">
        <f>Допущения!$B$30</f>
        <v/>
      </c>
      <c r="D18" s="7">
        <f>Допущения!$B$30</f>
        <v/>
      </c>
      <c r="E18" s="7">
        <f>Допущения!$B$30</f>
        <v/>
      </c>
      <c r="F18" s="7">
        <f>Допущения!$B$30</f>
        <v/>
      </c>
      <c r="G18" s="7">
        <f>Допущения!$B$30</f>
        <v/>
      </c>
      <c r="H18" s="7">
        <f>Допущения!$B$30</f>
        <v/>
      </c>
      <c r="I18" s="7">
        <f>Допущения!$B$30</f>
        <v/>
      </c>
      <c r="J18" s="7">
        <f>Допущения!$B$30</f>
        <v/>
      </c>
      <c r="K18" s="7">
        <f>Допущения!$B$30</f>
        <v/>
      </c>
      <c r="L18" s="7">
        <f>Допущения!$B$30</f>
        <v/>
      </c>
      <c r="M18" s="7">
        <f>Допущения!$B$30</f>
        <v/>
      </c>
      <c r="N18" s="7">
        <f>Допущения!$B$30</f>
        <v/>
      </c>
      <c r="O18" s="7">
        <f>Допущения!$B$30</f>
        <v/>
      </c>
      <c r="P18" s="7">
        <f>Допущения!$B$30</f>
        <v/>
      </c>
      <c r="Q18" s="7">
        <f>Допущения!$B$30</f>
        <v/>
      </c>
      <c r="R18" s="7">
        <f>Допущения!$B$30</f>
        <v/>
      </c>
      <c r="S18" s="7">
        <f>Допущения!$B$30</f>
        <v/>
      </c>
      <c r="T18" s="7">
        <f>Допущения!$B$30</f>
        <v/>
      </c>
      <c r="U18" s="7">
        <f>Допущения!$B$30</f>
        <v/>
      </c>
      <c r="V18" s="7">
        <f>Допущения!$B$30</f>
        <v/>
      </c>
      <c r="W18" s="7">
        <f>Допущения!$B$30</f>
        <v/>
      </c>
      <c r="X18" s="7">
        <f>Допущения!$B$30</f>
        <v/>
      </c>
      <c r="Y18" s="7">
        <f>Допущения!$B$30</f>
        <v/>
      </c>
    </row>
    <row r="19">
      <c r="A19" s="17" t="inlineStr">
        <is>
          <t>Онлайн-касса и чеки (54-ФЗ)</t>
        </is>
      </c>
      <c r="B19" s="7">
        <f>Допущения!$B$31</f>
        <v/>
      </c>
      <c r="C19" s="7">
        <f>Допущения!$B$31</f>
        <v/>
      </c>
      <c r="D19" s="7">
        <f>Допущения!$B$31</f>
        <v/>
      </c>
      <c r="E19" s="7">
        <f>Допущения!$B$31</f>
        <v/>
      </c>
      <c r="F19" s="7">
        <f>Допущения!$B$31</f>
        <v/>
      </c>
      <c r="G19" s="7">
        <f>Допущения!$B$31</f>
        <v/>
      </c>
      <c r="H19" s="7">
        <f>Допущения!$B$31</f>
        <v/>
      </c>
      <c r="I19" s="7">
        <f>Допущения!$B$31</f>
        <v/>
      </c>
      <c r="J19" s="7">
        <f>Допущения!$B$31</f>
        <v/>
      </c>
      <c r="K19" s="7">
        <f>Допущения!$B$31</f>
        <v/>
      </c>
      <c r="L19" s="7">
        <f>Допущения!$B$31</f>
        <v/>
      </c>
      <c r="M19" s="7">
        <f>Допущения!$B$31</f>
        <v/>
      </c>
      <c r="N19" s="7">
        <f>Допущения!$B$31</f>
        <v/>
      </c>
      <c r="O19" s="7">
        <f>Допущения!$B$31</f>
        <v/>
      </c>
      <c r="P19" s="7">
        <f>Допущения!$B$31</f>
        <v/>
      </c>
      <c r="Q19" s="7">
        <f>Допущения!$B$31</f>
        <v/>
      </c>
      <c r="R19" s="7">
        <f>Допущения!$B$31</f>
        <v/>
      </c>
      <c r="S19" s="7">
        <f>Допущения!$B$31</f>
        <v/>
      </c>
      <c r="T19" s="7">
        <f>Допущения!$B$31</f>
        <v/>
      </c>
      <c r="U19" s="7">
        <f>Допущения!$B$31</f>
        <v/>
      </c>
      <c r="V19" s="7">
        <f>Допущения!$B$31</f>
        <v/>
      </c>
      <c r="W19" s="7">
        <f>Допущения!$B$31</f>
        <v/>
      </c>
      <c r="X19" s="7">
        <f>Допущения!$B$31</f>
        <v/>
      </c>
      <c r="Y19" s="7">
        <f>Допущения!$B$31</f>
        <v/>
      </c>
      <c r="Z19" s="8" t="inlineStr">
        <is>
          <t>Статья, которой не было бы при продаже компаниям по счёту.</t>
        </is>
      </c>
    </row>
    <row r="20">
      <c r="A20" s="17" t="inlineStr">
        <is>
          <t>Бухгалтерия</t>
        </is>
      </c>
      <c r="B20" s="7">
        <f>Допущения!$B$32</f>
        <v/>
      </c>
      <c r="C20" s="7">
        <f>Допущения!$B$32</f>
        <v/>
      </c>
      <c r="D20" s="7">
        <f>Допущения!$B$32</f>
        <v/>
      </c>
      <c r="E20" s="7">
        <f>Допущения!$B$32</f>
        <v/>
      </c>
      <c r="F20" s="7">
        <f>Допущения!$B$32</f>
        <v/>
      </c>
      <c r="G20" s="7">
        <f>Допущения!$B$32</f>
        <v/>
      </c>
      <c r="H20" s="7">
        <f>Допущения!$B$32</f>
        <v/>
      </c>
      <c r="I20" s="7">
        <f>Допущения!$B$32</f>
        <v/>
      </c>
      <c r="J20" s="7">
        <f>Допущения!$B$32</f>
        <v/>
      </c>
      <c r="K20" s="7">
        <f>Допущения!$B$32</f>
        <v/>
      </c>
      <c r="L20" s="7">
        <f>Допущения!$B$32</f>
        <v/>
      </c>
      <c r="M20" s="7">
        <f>Допущения!$B$32</f>
        <v/>
      </c>
      <c r="N20" s="7">
        <f>Допущения!$B$32</f>
        <v/>
      </c>
      <c r="O20" s="7">
        <f>Допущения!$B$32</f>
        <v/>
      </c>
      <c r="P20" s="7">
        <f>Допущения!$B$32</f>
        <v/>
      </c>
      <c r="Q20" s="7">
        <f>Допущения!$B$32</f>
        <v/>
      </c>
      <c r="R20" s="7">
        <f>Допущения!$B$32</f>
        <v/>
      </c>
      <c r="S20" s="7">
        <f>Допущения!$B$32</f>
        <v/>
      </c>
      <c r="T20" s="7">
        <f>Допущения!$B$32</f>
        <v/>
      </c>
      <c r="U20" s="7">
        <f>Допущения!$B$32</f>
        <v/>
      </c>
      <c r="V20" s="7">
        <f>Допущения!$B$32</f>
        <v/>
      </c>
      <c r="W20" s="7">
        <f>Допущения!$B$32</f>
        <v/>
      </c>
      <c r="X20" s="7">
        <f>Допущения!$B$32</f>
        <v/>
      </c>
      <c r="Y20" s="7">
        <f>Допущения!$B$32</f>
        <v/>
      </c>
    </row>
    <row r="21">
      <c r="A21" s="17" t="inlineStr">
        <is>
          <t>Регистратор Р.О.С.Т. (АО)</t>
        </is>
      </c>
      <c r="B21" s="7">
        <f>Допущения!$B$26</f>
        <v/>
      </c>
      <c r="C21" s="7">
        <f>Допущения!$B$26</f>
        <v/>
      </c>
      <c r="D21" s="7">
        <f>Допущения!$B$26</f>
        <v/>
      </c>
      <c r="E21" s="7">
        <f>Допущения!$B$26</f>
        <v/>
      </c>
      <c r="F21" s="7">
        <f>Допущения!$B$26</f>
        <v/>
      </c>
      <c r="G21" s="7">
        <f>Допущения!$B$26</f>
        <v/>
      </c>
      <c r="H21" s="7">
        <f>Допущения!$B$26</f>
        <v/>
      </c>
      <c r="I21" s="7">
        <f>Допущения!$B$26</f>
        <v/>
      </c>
      <c r="J21" s="7">
        <f>Допущения!$B$26</f>
        <v/>
      </c>
      <c r="K21" s="7">
        <f>Допущения!$B$26</f>
        <v/>
      </c>
      <c r="L21" s="7">
        <f>Допущения!$B$26</f>
        <v/>
      </c>
      <c r="M21" s="7">
        <f>Допущения!$B$26</f>
        <v/>
      </c>
      <c r="N21" s="7">
        <f>Допущения!$B$26</f>
        <v/>
      </c>
      <c r="O21" s="7">
        <f>Допущения!$B$26</f>
        <v/>
      </c>
      <c r="P21" s="7">
        <f>Допущения!$B$26</f>
        <v/>
      </c>
      <c r="Q21" s="7">
        <f>Допущения!$B$26</f>
        <v/>
      </c>
      <c r="R21" s="7">
        <f>Допущения!$B$26</f>
        <v/>
      </c>
      <c r="S21" s="7">
        <f>Допущения!$B$26</f>
        <v/>
      </c>
      <c r="T21" s="7">
        <f>Допущения!$B$26</f>
        <v/>
      </c>
      <c r="U21" s="7">
        <f>Допущения!$B$26</f>
        <v/>
      </c>
      <c r="V21" s="7">
        <f>Допущения!$B$26</f>
        <v/>
      </c>
      <c r="W21" s="7">
        <f>Допущения!$B$26</f>
        <v/>
      </c>
      <c r="X21" s="7">
        <f>Допущения!$B$26</f>
        <v/>
      </c>
      <c r="Y21" s="7">
        <f>Допущения!$B$26</f>
        <v/>
      </c>
    </row>
    <row r="22">
      <c r="A22" s="17" t="inlineStr">
        <is>
          <t>Аренда офиса</t>
        </is>
      </c>
      <c r="B22" s="7">
        <f>Допущения!$B$27</f>
        <v/>
      </c>
      <c r="C22" s="7">
        <f>Допущения!$B$27</f>
        <v/>
      </c>
      <c r="D22" s="7">
        <f>Допущения!$B$27</f>
        <v/>
      </c>
      <c r="E22" s="7">
        <f>Допущения!$B$27</f>
        <v/>
      </c>
      <c r="F22" s="7">
        <f>Допущения!$B$27</f>
        <v/>
      </c>
      <c r="G22" s="7">
        <f>Допущения!$B$27</f>
        <v/>
      </c>
      <c r="H22" s="7">
        <f>Допущения!$B$27</f>
        <v/>
      </c>
      <c r="I22" s="7">
        <f>Допущения!$B$27</f>
        <v/>
      </c>
      <c r="J22" s="7">
        <f>Допущения!$B$27</f>
        <v/>
      </c>
      <c r="K22" s="7">
        <f>Допущения!$B$27</f>
        <v/>
      </c>
      <c r="L22" s="7">
        <f>Допущения!$B$27</f>
        <v/>
      </c>
      <c r="M22" s="7">
        <f>Допущения!$B$27</f>
        <v/>
      </c>
      <c r="N22" s="7">
        <f>Допущения!$B$27</f>
        <v/>
      </c>
      <c r="O22" s="7">
        <f>Допущения!$B$27</f>
        <v/>
      </c>
      <c r="P22" s="7">
        <f>Допущения!$B$27</f>
        <v/>
      </c>
      <c r="Q22" s="7">
        <f>Допущения!$B$27</f>
        <v/>
      </c>
      <c r="R22" s="7">
        <f>Допущения!$B$27</f>
        <v/>
      </c>
      <c r="S22" s="7">
        <f>Допущения!$B$27</f>
        <v/>
      </c>
      <c r="T22" s="7">
        <f>Допущения!$B$27</f>
        <v/>
      </c>
      <c r="U22" s="7">
        <f>Допущения!$B$27</f>
        <v/>
      </c>
      <c r="V22" s="7">
        <f>Допущения!$B$27</f>
        <v/>
      </c>
      <c r="W22" s="7">
        <f>Допущения!$B$27</f>
        <v/>
      </c>
      <c r="X22" s="7">
        <f>Допущения!$B$27</f>
        <v/>
      </c>
      <c r="Y22" s="7">
        <f>Допущения!$B$27</f>
        <v/>
      </c>
    </row>
    <row r="23">
      <c r="A23" s="17" t="inlineStr">
        <is>
          <t>Юрист и товарный знак</t>
        </is>
      </c>
      <c r="B23" s="7">
        <f>Допущения!$B$33</f>
        <v/>
      </c>
      <c r="C23" s="7">
        <f>Допущения!$B$33</f>
        <v/>
      </c>
      <c r="D23" s="7">
        <f>Допущения!$B$33</f>
        <v/>
      </c>
      <c r="E23" s="7">
        <f>Допущения!$B$33</f>
        <v/>
      </c>
      <c r="F23" s="7">
        <f>Допущения!$B$33</f>
        <v/>
      </c>
      <c r="G23" s="7">
        <f>Допущения!$B$33</f>
        <v/>
      </c>
      <c r="H23" s="7">
        <f>Допущения!$B$33</f>
        <v/>
      </c>
      <c r="I23" s="7">
        <f>Допущения!$B$33</f>
        <v/>
      </c>
      <c r="J23" s="7">
        <f>Допущения!$B$33</f>
        <v/>
      </c>
      <c r="K23" s="7">
        <f>Допущения!$B$33</f>
        <v/>
      </c>
      <c r="L23" s="7">
        <f>Допущения!$B$33</f>
        <v/>
      </c>
      <c r="M23" s="7">
        <f>Допущения!$B$33</f>
        <v/>
      </c>
      <c r="N23" s="7">
        <f>Допущения!$B$33</f>
        <v/>
      </c>
      <c r="O23" s="7">
        <f>Допущения!$B$33</f>
        <v/>
      </c>
      <c r="P23" s="7">
        <f>Допущения!$B$33</f>
        <v/>
      </c>
      <c r="Q23" s="7">
        <f>Допущения!$B$33</f>
        <v/>
      </c>
      <c r="R23" s="7">
        <f>Допущения!$B$33</f>
        <v/>
      </c>
      <c r="S23" s="7">
        <f>Допущения!$B$33</f>
        <v/>
      </c>
      <c r="T23" s="7">
        <f>Допущения!$B$33</f>
        <v/>
      </c>
      <c r="U23" s="7">
        <f>Допущения!$B$33</f>
        <v/>
      </c>
      <c r="V23" s="7">
        <f>Допущения!$B$33</f>
        <v/>
      </c>
      <c r="W23" s="7">
        <f>Допущения!$B$33</f>
        <v/>
      </c>
      <c r="X23" s="7">
        <f>Допущения!$B$33</f>
        <v/>
      </c>
      <c r="Y23" s="7">
        <f>Допущения!$B$33</f>
        <v/>
      </c>
    </row>
    <row r="24">
      <c r="A24" s="17" t="inlineStr">
        <is>
          <t>Платное продвижение</t>
        </is>
      </c>
      <c r="B24" s="7">
        <f>Допущения!$B$34</f>
        <v/>
      </c>
      <c r="C24" s="7">
        <f>Допущения!$B$34</f>
        <v/>
      </c>
      <c r="D24" s="7">
        <f>Допущения!$B$34</f>
        <v/>
      </c>
      <c r="E24" s="7">
        <f>Допущения!$B$34</f>
        <v/>
      </c>
      <c r="F24" s="7">
        <f>Допущения!$B$34</f>
        <v/>
      </c>
      <c r="G24" s="7">
        <f>Допущения!$B$34</f>
        <v/>
      </c>
      <c r="H24" s="7">
        <f>Допущения!$B$34</f>
        <v/>
      </c>
      <c r="I24" s="7">
        <f>Допущения!$B$34</f>
        <v/>
      </c>
      <c r="J24" s="7">
        <f>Допущения!$B$34</f>
        <v/>
      </c>
      <c r="K24" s="7">
        <f>Допущения!$B$34</f>
        <v/>
      </c>
      <c r="L24" s="7">
        <f>Допущения!$B$34</f>
        <v/>
      </c>
      <c r="M24" s="7">
        <f>Допущения!$B$34</f>
        <v/>
      </c>
      <c r="N24" s="7">
        <f>Допущения!$B$34</f>
        <v/>
      </c>
      <c r="O24" s="7">
        <f>Допущения!$B$34</f>
        <v/>
      </c>
      <c r="P24" s="7">
        <f>Допущения!$B$34</f>
        <v/>
      </c>
      <c r="Q24" s="7">
        <f>Допущения!$B$34</f>
        <v/>
      </c>
      <c r="R24" s="7">
        <f>Допущения!$B$34</f>
        <v/>
      </c>
      <c r="S24" s="7">
        <f>Допущения!$B$34</f>
        <v/>
      </c>
      <c r="T24" s="7">
        <f>Допущения!$B$34</f>
        <v/>
      </c>
      <c r="U24" s="7">
        <f>Допущения!$B$34</f>
        <v/>
      </c>
      <c r="V24" s="7">
        <f>Допущения!$B$34</f>
        <v/>
      </c>
      <c r="W24" s="7">
        <f>Допущения!$B$34</f>
        <v/>
      </c>
      <c r="X24" s="7">
        <f>Допущения!$B$34</f>
        <v/>
      </c>
      <c r="Y24" s="7">
        <f>Допущения!$B$34</f>
        <v/>
      </c>
    </row>
    <row r="25">
      <c r="A25" s="17" t="inlineStr">
        <is>
          <t>Прочее</t>
        </is>
      </c>
      <c r="B25" s="7">
        <f>Допущения!$B$35</f>
        <v/>
      </c>
      <c r="C25" s="7">
        <f>Допущения!$B$35</f>
        <v/>
      </c>
      <c r="D25" s="7">
        <f>Допущения!$B$35</f>
        <v/>
      </c>
      <c r="E25" s="7">
        <f>Допущения!$B$35</f>
        <v/>
      </c>
      <c r="F25" s="7">
        <f>Допущения!$B$35</f>
        <v/>
      </c>
      <c r="G25" s="7">
        <f>Допущения!$B$35</f>
        <v/>
      </c>
      <c r="H25" s="7">
        <f>Допущения!$B$35</f>
        <v/>
      </c>
      <c r="I25" s="7">
        <f>Допущения!$B$35</f>
        <v/>
      </c>
      <c r="J25" s="7">
        <f>Допущения!$B$35</f>
        <v/>
      </c>
      <c r="K25" s="7">
        <f>Допущения!$B$35</f>
        <v/>
      </c>
      <c r="L25" s="7">
        <f>Допущения!$B$35</f>
        <v/>
      </c>
      <c r="M25" s="7">
        <f>Допущения!$B$35</f>
        <v/>
      </c>
      <c r="N25" s="7">
        <f>Допущения!$B$35</f>
        <v/>
      </c>
      <c r="O25" s="7">
        <f>Допущения!$B$35</f>
        <v/>
      </c>
      <c r="P25" s="7">
        <f>Допущения!$B$35</f>
        <v/>
      </c>
      <c r="Q25" s="7">
        <f>Допущения!$B$35</f>
        <v/>
      </c>
      <c r="R25" s="7">
        <f>Допущения!$B$35</f>
        <v/>
      </c>
      <c r="S25" s="7">
        <f>Допущения!$B$35</f>
        <v/>
      </c>
      <c r="T25" s="7">
        <f>Допущения!$B$35</f>
        <v/>
      </c>
      <c r="U25" s="7">
        <f>Допущения!$B$35</f>
        <v/>
      </c>
      <c r="V25" s="7">
        <f>Допущения!$B$35</f>
        <v/>
      </c>
      <c r="W25" s="7">
        <f>Допущения!$B$35</f>
        <v/>
      </c>
      <c r="X25" s="7">
        <f>Допущения!$B$35</f>
        <v/>
      </c>
      <c r="Y25" s="7">
        <f>Допущения!$B$35</f>
        <v/>
      </c>
    </row>
    <row r="26">
      <c r="A26" s="17" t="inlineStr">
        <is>
          <t>Комиссия за приём платежей</t>
        </is>
      </c>
      <c r="B26" s="7">
        <f>B13*Допущения!$B$50</f>
        <v/>
      </c>
      <c r="C26" s="7">
        <f>C13*Допущения!$B$50</f>
        <v/>
      </c>
      <c r="D26" s="7">
        <f>D13*Допущения!$B$50</f>
        <v/>
      </c>
      <c r="E26" s="7">
        <f>E13*Допущения!$B$50</f>
        <v/>
      </c>
      <c r="F26" s="7">
        <f>F13*Допущения!$B$50</f>
        <v/>
      </c>
      <c r="G26" s="7">
        <f>G13*Допущения!$B$50</f>
        <v/>
      </c>
      <c r="H26" s="7">
        <f>H13*Допущения!$B$50</f>
        <v/>
      </c>
      <c r="I26" s="7">
        <f>I13*Допущения!$B$50</f>
        <v/>
      </c>
      <c r="J26" s="7">
        <f>J13*Допущения!$B$50</f>
        <v/>
      </c>
      <c r="K26" s="7">
        <f>K13*Допущения!$B$50</f>
        <v/>
      </c>
      <c r="L26" s="7">
        <f>L13*Допущения!$B$50</f>
        <v/>
      </c>
      <c r="M26" s="7">
        <f>M13*Допущения!$B$50</f>
        <v/>
      </c>
      <c r="N26" s="7">
        <f>N13*Допущения!$B$50</f>
        <v/>
      </c>
      <c r="O26" s="7">
        <f>O13*Допущения!$B$50</f>
        <v/>
      </c>
      <c r="P26" s="7">
        <f>P13*Допущения!$B$50</f>
        <v/>
      </c>
      <c r="Q26" s="7">
        <f>Q13*Допущения!$B$50</f>
        <v/>
      </c>
      <c r="R26" s="7">
        <f>R13*Допущения!$B$50</f>
        <v/>
      </c>
      <c r="S26" s="7">
        <f>S13*Допущения!$B$50</f>
        <v/>
      </c>
      <c r="T26" s="7">
        <f>T13*Допущения!$B$50</f>
        <v/>
      </c>
      <c r="U26" s="7">
        <f>U13*Допущения!$B$50</f>
        <v/>
      </c>
      <c r="V26" s="7">
        <f>V13*Допущения!$B$50</f>
        <v/>
      </c>
      <c r="W26" s="7">
        <f>W13*Допущения!$B$50</f>
        <v/>
      </c>
      <c r="X26" s="7">
        <f>X13*Допущения!$B$50</f>
        <v/>
      </c>
      <c r="Y26" s="7">
        <f>Y13*Допущения!$B$50</f>
        <v/>
      </c>
    </row>
    <row r="27">
      <c r="A27" s="17" t="inlineStr">
        <is>
          <t>Возвраты</t>
        </is>
      </c>
      <c r="B27" s="7">
        <f>B12*Допущения!$B$13</f>
        <v/>
      </c>
      <c r="C27" s="7">
        <f>C12*Допущения!$B$13</f>
        <v/>
      </c>
      <c r="D27" s="7">
        <f>D12*Допущения!$B$13</f>
        <v/>
      </c>
      <c r="E27" s="7">
        <f>E12*Допущения!$B$13</f>
        <v/>
      </c>
      <c r="F27" s="7">
        <f>F12*Допущения!$B$13</f>
        <v/>
      </c>
      <c r="G27" s="7">
        <f>G12*Допущения!$B$13</f>
        <v/>
      </c>
      <c r="H27" s="7">
        <f>H12*Допущения!$B$13</f>
        <v/>
      </c>
      <c r="I27" s="7">
        <f>I12*Допущения!$B$13</f>
        <v/>
      </c>
      <c r="J27" s="7">
        <f>J12*Допущения!$B$13</f>
        <v/>
      </c>
      <c r="K27" s="7">
        <f>K12*Допущения!$B$13</f>
        <v/>
      </c>
      <c r="L27" s="7">
        <f>L12*Допущения!$B$13</f>
        <v/>
      </c>
      <c r="M27" s="7">
        <f>M12*Допущения!$B$13</f>
        <v/>
      </c>
      <c r="N27" s="7">
        <f>N12*Допущения!$B$13</f>
        <v/>
      </c>
      <c r="O27" s="7">
        <f>O12*Допущения!$B$13</f>
        <v/>
      </c>
      <c r="P27" s="7">
        <f>P12*Допущения!$B$13</f>
        <v/>
      </c>
      <c r="Q27" s="7">
        <f>Q12*Допущения!$B$13</f>
        <v/>
      </c>
      <c r="R27" s="7">
        <f>R12*Допущения!$B$13</f>
        <v/>
      </c>
      <c r="S27" s="7">
        <f>S12*Допущения!$B$13</f>
        <v/>
      </c>
      <c r="T27" s="7">
        <f>T12*Допущения!$B$13</f>
        <v/>
      </c>
      <c r="U27" s="7">
        <f>U12*Допущения!$B$13</f>
        <v/>
      </c>
      <c r="V27" s="7">
        <f>V12*Допущения!$B$13</f>
        <v/>
      </c>
      <c r="W27" s="7">
        <f>W12*Допущения!$B$13</f>
        <v/>
      </c>
      <c r="X27" s="7">
        <f>X12*Допущения!$B$13</f>
        <v/>
      </c>
      <c r="Y27" s="7">
        <f>Y12*Допущения!$B$13</f>
        <v/>
      </c>
      <c r="Z27" s="8" t="inlineStr">
        <is>
          <t>Право физлица отказаться от неиспользованного периода.</t>
        </is>
      </c>
    </row>
    <row r="28">
      <c r="A28" s="17" t="inlineStr">
        <is>
          <t>Зарплата гендиректора</t>
        </is>
      </c>
      <c r="B28" s="7">
        <f>Допущения!$B$37</f>
        <v/>
      </c>
      <c r="C28" s="7">
        <f>Допущения!$B$37</f>
        <v/>
      </c>
      <c r="D28" s="7">
        <f>Допущения!$B$37</f>
        <v/>
      </c>
      <c r="E28" s="7">
        <f>Допущения!$B$37</f>
        <v/>
      </c>
      <c r="F28" s="7">
        <f>Допущения!$B$37</f>
        <v/>
      </c>
      <c r="G28" s="7">
        <f>Допущения!$B$37</f>
        <v/>
      </c>
      <c r="H28" s="7">
        <f>Допущения!$B$37</f>
        <v/>
      </c>
      <c r="I28" s="7">
        <f>Допущения!$B$37</f>
        <v/>
      </c>
      <c r="J28" s="7">
        <f>Допущения!$B$37</f>
        <v/>
      </c>
      <c r="K28" s="7">
        <f>Допущения!$B$37</f>
        <v/>
      </c>
      <c r="L28" s="7">
        <f>Допущения!$B$37</f>
        <v/>
      </c>
      <c r="M28" s="7">
        <f>Допущения!$B$37</f>
        <v/>
      </c>
      <c r="N28" s="7">
        <f>Допущения!$B$37</f>
        <v/>
      </c>
      <c r="O28" s="7">
        <f>Допущения!$B$37</f>
        <v/>
      </c>
      <c r="P28" s="7">
        <f>Допущения!$B$37</f>
        <v/>
      </c>
      <c r="Q28" s="7">
        <f>Допущения!$B$37</f>
        <v/>
      </c>
      <c r="R28" s="7">
        <f>Допущения!$B$37</f>
        <v/>
      </c>
      <c r="S28" s="7">
        <f>Допущения!$B$37</f>
        <v/>
      </c>
      <c r="T28" s="7">
        <f>Допущения!$B$37</f>
        <v/>
      </c>
      <c r="U28" s="7">
        <f>Допущения!$B$37</f>
        <v/>
      </c>
      <c r="V28" s="7">
        <f>Допущения!$B$37</f>
        <v/>
      </c>
      <c r="W28" s="7">
        <f>Допущения!$B$37</f>
        <v/>
      </c>
      <c r="X28" s="7">
        <f>Допущения!$B$37</f>
        <v/>
      </c>
      <c r="Y28" s="7">
        <f>Допущения!$B$37</f>
        <v/>
      </c>
    </row>
    <row r="29">
      <c r="A29" s="17" t="inlineStr">
        <is>
          <t>Команда на подряде</t>
        </is>
      </c>
      <c r="B29" s="7">
        <f>Допущения!$B$38</f>
        <v/>
      </c>
      <c r="C29" s="7">
        <f>Допущения!$B$38</f>
        <v/>
      </c>
      <c r="D29" s="7">
        <f>Допущения!$B$38</f>
        <v/>
      </c>
      <c r="E29" s="7">
        <f>Допущения!$B$38</f>
        <v/>
      </c>
      <c r="F29" s="7">
        <f>Допущения!$B$38</f>
        <v/>
      </c>
      <c r="G29" s="7">
        <f>Допущения!$B$38</f>
        <v/>
      </c>
      <c r="H29" s="7">
        <f>Допущения!$B$38</f>
        <v/>
      </c>
      <c r="I29" s="7">
        <f>Допущения!$B$38</f>
        <v/>
      </c>
      <c r="J29" s="7">
        <f>Допущения!$B$38</f>
        <v/>
      </c>
      <c r="K29" s="7">
        <f>Допущения!$B$38</f>
        <v/>
      </c>
      <c r="L29" s="7">
        <f>Допущения!$B$38</f>
        <v/>
      </c>
      <c r="M29" s="7">
        <f>Допущения!$B$38</f>
        <v/>
      </c>
      <c r="N29" s="7">
        <f>Допущения!$B$38</f>
        <v/>
      </c>
      <c r="O29" s="7">
        <f>Допущения!$B$38</f>
        <v/>
      </c>
      <c r="P29" s="7">
        <f>Допущения!$B$38</f>
        <v/>
      </c>
      <c r="Q29" s="7">
        <f>Допущения!$B$38</f>
        <v/>
      </c>
      <c r="R29" s="7">
        <f>Допущения!$B$38</f>
        <v/>
      </c>
      <c r="S29" s="7">
        <f>Допущения!$B$38</f>
        <v/>
      </c>
      <c r="T29" s="7">
        <f>Допущения!$B$38</f>
        <v/>
      </c>
      <c r="U29" s="7">
        <f>Допущения!$B$38</f>
        <v/>
      </c>
      <c r="V29" s="7">
        <f>Допущения!$B$38</f>
        <v/>
      </c>
      <c r="W29" s="7">
        <f>Допущения!$B$38</f>
        <v/>
      </c>
      <c r="X29" s="7">
        <f>Допущения!$B$38</f>
        <v/>
      </c>
      <c r="Y29" s="7">
        <f>Допущения!$B$38</f>
        <v/>
      </c>
    </row>
    <row r="30">
      <c r="A30" s="17" t="inlineStr">
        <is>
          <t>Разработчик на аутсорсе</t>
        </is>
      </c>
      <c r="B30" s="7">
        <f>IF(1&lt;=Допущения!$B$39,0,IF(1&lt;=Допущения!$B$41,Допущения!$B$40,Допущения!$B$42))</f>
        <v/>
      </c>
      <c r="C30" s="7">
        <f>IF(2&lt;=Допущения!$B$39,0,IF(2&lt;=Допущения!$B$41,Допущения!$B$40,Допущения!$B$42))</f>
        <v/>
      </c>
      <c r="D30" s="7">
        <f>IF(3&lt;=Допущения!$B$39,0,IF(3&lt;=Допущения!$B$41,Допущения!$B$40,Допущения!$B$42))</f>
        <v/>
      </c>
      <c r="E30" s="7">
        <f>IF(4&lt;=Допущения!$B$39,0,IF(4&lt;=Допущения!$B$41,Допущения!$B$40,Допущения!$B$42))</f>
        <v/>
      </c>
      <c r="F30" s="7">
        <f>IF(5&lt;=Допущения!$B$39,0,IF(5&lt;=Допущения!$B$41,Допущения!$B$40,Допущения!$B$42))</f>
        <v/>
      </c>
      <c r="G30" s="7">
        <f>IF(6&lt;=Допущения!$B$39,0,IF(6&lt;=Допущения!$B$41,Допущения!$B$40,Допущения!$B$42))</f>
        <v/>
      </c>
      <c r="H30" s="7">
        <f>IF(7&lt;=Допущения!$B$39,0,IF(7&lt;=Допущения!$B$41,Допущения!$B$40,Допущения!$B$42))</f>
        <v/>
      </c>
      <c r="I30" s="7">
        <f>IF(8&lt;=Допущения!$B$39,0,IF(8&lt;=Допущения!$B$41,Допущения!$B$40,Допущения!$B$42))</f>
        <v/>
      </c>
      <c r="J30" s="7">
        <f>IF(9&lt;=Допущения!$B$39,0,IF(9&lt;=Допущения!$B$41,Допущения!$B$40,Допущения!$B$42))</f>
        <v/>
      </c>
      <c r="K30" s="7">
        <f>IF(10&lt;=Допущения!$B$39,0,IF(10&lt;=Допущения!$B$41,Допущения!$B$40,Допущения!$B$42))</f>
        <v/>
      </c>
      <c r="L30" s="7">
        <f>IF(11&lt;=Допущения!$B$39,0,IF(11&lt;=Допущения!$B$41,Допущения!$B$40,Допущения!$B$42))</f>
        <v/>
      </c>
      <c r="M30" s="7">
        <f>IF(12&lt;=Допущения!$B$39,0,IF(12&lt;=Допущения!$B$41,Допущения!$B$40,Допущения!$B$42))</f>
        <v/>
      </c>
      <c r="N30" s="7">
        <f>IF(13&lt;=Допущения!$B$39,0,IF(13&lt;=Допущения!$B$41,Допущения!$B$40,Допущения!$B$42))</f>
        <v/>
      </c>
      <c r="O30" s="7">
        <f>IF(14&lt;=Допущения!$B$39,0,IF(14&lt;=Допущения!$B$41,Допущения!$B$40,Допущения!$B$42))</f>
        <v/>
      </c>
      <c r="P30" s="7">
        <f>IF(15&lt;=Допущения!$B$39,0,IF(15&lt;=Допущения!$B$41,Допущения!$B$40,Допущения!$B$42))</f>
        <v/>
      </c>
      <c r="Q30" s="7">
        <f>IF(16&lt;=Допущения!$B$39,0,IF(16&lt;=Допущения!$B$41,Допущения!$B$40,Допущения!$B$42))</f>
        <v/>
      </c>
      <c r="R30" s="7">
        <f>IF(17&lt;=Допущения!$B$39,0,IF(17&lt;=Допущения!$B$41,Допущения!$B$40,Допущения!$B$42))</f>
        <v/>
      </c>
      <c r="S30" s="7">
        <f>IF(18&lt;=Допущения!$B$39,0,IF(18&lt;=Допущения!$B$41,Допущения!$B$40,Допущения!$B$42))</f>
        <v/>
      </c>
      <c r="T30" s="7">
        <f>IF(19&lt;=Допущения!$B$39,0,IF(19&lt;=Допущения!$B$41,Допущения!$B$40,Допущения!$B$42))</f>
        <v/>
      </c>
      <c r="U30" s="7">
        <f>IF(20&lt;=Допущения!$B$39,0,IF(20&lt;=Допущения!$B$41,Допущения!$B$40,Допущения!$B$42))</f>
        <v/>
      </c>
      <c r="V30" s="7">
        <f>IF(21&lt;=Допущения!$B$39,0,IF(21&lt;=Допущения!$B$41,Допущения!$B$40,Допущения!$B$42))</f>
        <v/>
      </c>
      <c r="W30" s="7">
        <f>IF(22&lt;=Допущения!$B$39,0,IF(22&lt;=Допущения!$B$41,Допущения!$B$40,Допущения!$B$42))</f>
        <v/>
      </c>
      <c r="X30" s="7">
        <f>IF(23&lt;=Допущения!$B$39,0,IF(23&lt;=Допущения!$B$41,Допущения!$B$40,Допущения!$B$42))</f>
        <v/>
      </c>
      <c r="Y30" s="7">
        <f>IF(24&lt;=Допущения!$B$39,0,IF(24&lt;=Допущения!$B$41,Допущения!$B$40,Допущения!$B$42))</f>
        <v/>
      </c>
      <c r="Z30" s="8" t="inlineStr">
        <is>
          <t>Лесенка вместо одной ставки: первый квартал без разработчика, затем девять месяцев по первой ставке, с 13-го месяца — по второй. Взносов нет: это подряд, а не трудовой договор.</t>
        </is>
      </c>
    </row>
    <row r="31">
      <c r="A31" s="27" t="inlineStr">
        <is>
          <t>Страховые взносы за гендиректора</t>
        </is>
      </c>
      <c r="B31" s="15">
        <f>MAX(Допущения!$B$37,Допущения!$B$48)*Допущения!$B$49</f>
        <v/>
      </c>
      <c r="C31" s="15">
        <f>MAX(Допущения!$B$37,Допущения!$B$48)*Допущения!$B$49</f>
        <v/>
      </c>
      <c r="D31" s="15">
        <f>MAX(Допущения!$B$37,Допущения!$B$48)*Допущения!$B$49</f>
        <v/>
      </c>
      <c r="E31" s="15">
        <f>MAX(Допущения!$B$37,Допущения!$B$48)*Допущения!$B$49</f>
        <v/>
      </c>
      <c r="F31" s="15">
        <f>MAX(Допущения!$B$37,Допущения!$B$48)*Допущения!$B$49</f>
        <v/>
      </c>
      <c r="G31" s="15">
        <f>MAX(Допущения!$B$37,Допущения!$B$48)*Допущения!$B$49</f>
        <v/>
      </c>
      <c r="H31" s="15">
        <f>MAX(Допущения!$B$37,Допущения!$B$48)*Допущения!$B$49</f>
        <v/>
      </c>
      <c r="I31" s="15">
        <f>MAX(Допущения!$B$37,Допущения!$B$48)*Допущения!$B$49</f>
        <v/>
      </c>
      <c r="J31" s="15">
        <f>MAX(Допущения!$B$37,Допущения!$B$48)*Допущения!$B$49</f>
        <v/>
      </c>
      <c r="K31" s="15">
        <f>MAX(Допущения!$B$37,Допущения!$B$48)*Допущения!$B$49</f>
        <v/>
      </c>
      <c r="L31" s="15">
        <f>MAX(Допущения!$B$37,Допущения!$B$48)*Допущения!$B$49</f>
        <v/>
      </c>
      <c r="M31" s="15">
        <f>MAX(Допущения!$B$37,Допущения!$B$48)*Допущения!$B$49</f>
        <v/>
      </c>
      <c r="N31" s="15">
        <f>MAX(Допущения!$B$37,Допущения!$B$48)*Допущения!$B$49</f>
        <v/>
      </c>
      <c r="O31" s="15">
        <f>MAX(Допущения!$B$37,Допущения!$B$48)*Допущения!$B$49</f>
        <v/>
      </c>
      <c r="P31" s="15">
        <f>MAX(Допущения!$B$37,Допущения!$B$48)*Допущения!$B$49</f>
        <v/>
      </c>
      <c r="Q31" s="15">
        <f>MAX(Допущения!$B$37,Допущения!$B$48)*Допущения!$B$49</f>
        <v/>
      </c>
      <c r="R31" s="15">
        <f>MAX(Допущения!$B$37,Допущения!$B$48)*Допущения!$B$49</f>
        <v/>
      </c>
      <c r="S31" s="15">
        <f>MAX(Допущения!$B$37,Допущения!$B$48)*Допущения!$B$49</f>
        <v/>
      </c>
      <c r="T31" s="15">
        <f>MAX(Допущения!$B$37,Допущения!$B$48)*Допущения!$B$49</f>
        <v/>
      </c>
      <c r="U31" s="15">
        <f>MAX(Допущения!$B$37,Допущения!$B$48)*Допущения!$B$49</f>
        <v/>
      </c>
      <c r="V31" s="15">
        <f>MAX(Допущения!$B$37,Допущения!$B$48)*Допущения!$B$49</f>
        <v/>
      </c>
      <c r="W31" s="15">
        <f>MAX(Допущения!$B$37,Допущения!$B$48)*Допущения!$B$49</f>
        <v/>
      </c>
      <c r="X31" s="15">
        <f>MAX(Допущения!$B$37,Допущения!$B$48)*Допущения!$B$49</f>
        <v/>
      </c>
      <c r="Y31" s="15">
        <f>MAX(Допущения!$B$37,Допущения!$B$48)*Допущения!$B$49</f>
        <v/>
      </c>
      <c r="Z31" s="8" t="inlineStr">
        <is>
          <t>ОБЯЗАТЕЛЬНЫ С 01.01.2026 даже без трудового договора и без зарплаты: ФЗ от 28.11.2025 № 425-ФЗ изменил п. 1 ст. 421 НК РФ. Подробности — на листе «Налоги и риски».</t>
        </is>
      </c>
    </row>
    <row r="32">
      <c r="A32" s="5" t="inlineStr">
        <is>
          <t>Расходы всего</t>
        </is>
      </c>
      <c r="B32" s="14">
        <f>SUM(B15:B31)</f>
        <v/>
      </c>
      <c r="C32" s="14">
        <f>SUM(C15:C31)</f>
        <v/>
      </c>
      <c r="D32" s="14">
        <f>SUM(D15:D31)</f>
        <v/>
      </c>
      <c r="E32" s="14">
        <f>SUM(E15:E31)</f>
        <v/>
      </c>
      <c r="F32" s="14">
        <f>SUM(F15:F31)</f>
        <v/>
      </c>
      <c r="G32" s="14">
        <f>SUM(G15:G31)</f>
        <v/>
      </c>
      <c r="H32" s="14">
        <f>SUM(H15:H31)</f>
        <v/>
      </c>
      <c r="I32" s="14">
        <f>SUM(I15:I31)</f>
        <v/>
      </c>
      <c r="J32" s="14">
        <f>SUM(J15:J31)</f>
        <v/>
      </c>
      <c r="K32" s="14">
        <f>SUM(K15:K31)</f>
        <v/>
      </c>
      <c r="L32" s="14">
        <f>SUM(L15:L31)</f>
        <v/>
      </c>
      <c r="M32" s="14">
        <f>SUM(M15:M31)</f>
        <v/>
      </c>
      <c r="N32" s="14">
        <f>SUM(N15:N31)</f>
        <v/>
      </c>
      <c r="O32" s="14">
        <f>SUM(O15:O31)</f>
        <v/>
      </c>
      <c r="P32" s="14">
        <f>SUM(P15:P31)</f>
        <v/>
      </c>
      <c r="Q32" s="14">
        <f>SUM(Q15:Q31)</f>
        <v/>
      </c>
      <c r="R32" s="14">
        <f>SUM(R15:R31)</f>
        <v/>
      </c>
      <c r="S32" s="14">
        <f>SUM(S15:S31)</f>
        <v/>
      </c>
      <c r="T32" s="14">
        <f>SUM(T15:T31)</f>
        <v/>
      </c>
      <c r="U32" s="14">
        <f>SUM(U15:U31)</f>
        <v/>
      </c>
      <c r="V32" s="14">
        <f>SUM(V15:V31)</f>
        <v/>
      </c>
      <c r="W32" s="14">
        <f>SUM(W15:W31)</f>
        <v/>
      </c>
      <c r="X32" s="14">
        <f>SUM(X15:X31)</f>
        <v/>
      </c>
      <c r="Y32" s="14">
        <f>SUM(Y15:Y31)</f>
        <v/>
      </c>
    </row>
    <row r="33">
      <c r="A33" s="3" t="inlineStr">
        <is>
          <t>Налоги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>
      <c r="A34" s="17" t="inlineStr">
        <is>
          <t>Доход накопленным итогом за год</t>
        </is>
      </c>
      <c r="B34" s="7">
        <f>SUM($B$12:B12)</f>
        <v/>
      </c>
      <c r="C34" s="7">
        <f>SUM($B$12:C12)</f>
        <v/>
      </c>
      <c r="D34" s="7">
        <f>SUM($B$12:D12)</f>
        <v/>
      </c>
      <c r="E34" s="7">
        <f>SUM($E$12:E12)</f>
        <v/>
      </c>
      <c r="F34" s="7">
        <f>SUM($E$12:F12)</f>
        <v/>
      </c>
      <c r="G34" s="7">
        <f>SUM($E$12:G12)</f>
        <v/>
      </c>
      <c r="H34" s="7">
        <f>SUM($E$12:H12)</f>
        <v/>
      </c>
      <c r="I34" s="7">
        <f>SUM($E$12:I12)</f>
        <v/>
      </c>
      <c r="J34" s="7">
        <f>SUM($E$12:J12)</f>
        <v/>
      </c>
      <c r="K34" s="7">
        <f>SUM($E$12:K12)</f>
        <v/>
      </c>
      <c r="L34" s="7">
        <f>SUM($E$12:L12)</f>
        <v/>
      </c>
      <c r="M34" s="7">
        <f>SUM($E$12:M12)</f>
        <v/>
      </c>
      <c r="N34" s="7">
        <f>SUM($E$12:N12)</f>
        <v/>
      </c>
      <c r="O34" s="7">
        <f>SUM($E$12:O12)</f>
        <v/>
      </c>
      <c r="P34" s="7">
        <f>SUM($E$12:P12)</f>
        <v/>
      </c>
      <c r="Q34" s="7">
        <f>SUM($E$12:Q12)</f>
        <v/>
      </c>
      <c r="R34" s="7">
        <f>SUM($E$12:R12)</f>
        <v/>
      </c>
      <c r="S34" s="7">
        <f>SUM($E$12:S12)</f>
        <v/>
      </c>
      <c r="T34" s="7">
        <f>SUM($E$12:T12)</f>
        <v/>
      </c>
      <c r="U34" s="7">
        <f>SUM($E$12:U12)</f>
        <v/>
      </c>
      <c r="V34" s="7">
        <f>SUM($E$12:V12)</f>
        <v/>
      </c>
      <c r="W34" s="7">
        <f>SUM($E$12:W12)</f>
        <v/>
      </c>
      <c r="X34" s="7">
        <f>SUM($E$12:X12)</f>
        <v/>
      </c>
      <c r="Y34" s="7">
        <f>SUM($E$12:Y12)</f>
        <v/>
      </c>
      <c r="Z34" s="8" t="inlineStr">
        <is>
          <t>Год считается календарный: старт в октябре, поэтому первый календарный год у нас три месяца, а полный год начинается с января.</t>
        </is>
      </c>
    </row>
    <row r="35">
      <c r="A35" s="17" t="inlineStr">
        <is>
          <t>НДС</t>
        </is>
      </c>
      <c r="B35" s="7">
        <f>IF(B34&gt;Допущения!$B$46,B12*Допущения!$B$47,0)</f>
        <v/>
      </c>
      <c r="C35" s="7">
        <f>IF(C34&gt;Допущения!$B$46,C12*Допущения!$B$47,0)</f>
        <v/>
      </c>
      <c r="D35" s="7">
        <f>IF(D34&gt;Допущения!$B$46,D12*Допущения!$B$47,0)</f>
        <v/>
      </c>
      <c r="E35" s="7">
        <f>IF(E34&gt;Допущения!$B$46,E12*Допущения!$B$47,0)</f>
        <v/>
      </c>
      <c r="F35" s="7">
        <f>IF(F34&gt;Допущения!$B$46,F12*Допущения!$B$47,0)</f>
        <v/>
      </c>
      <c r="G35" s="7">
        <f>IF(G34&gt;Допущения!$B$46,G12*Допущения!$B$47,0)</f>
        <v/>
      </c>
      <c r="H35" s="7">
        <f>IF(H34&gt;Допущения!$B$46,H12*Допущения!$B$47,0)</f>
        <v/>
      </c>
      <c r="I35" s="7">
        <f>IF(I34&gt;Допущения!$B$46,I12*Допущения!$B$47,0)</f>
        <v/>
      </c>
      <c r="J35" s="7">
        <f>IF(J34&gt;Допущения!$B$46,J12*Допущения!$B$47,0)</f>
        <v/>
      </c>
      <c r="K35" s="7">
        <f>IF(K34&gt;Допущения!$B$46,K12*Допущения!$B$47,0)</f>
        <v/>
      </c>
      <c r="L35" s="7">
        <f>IF(L34&gt;Допущения!$B$46,L12*Допущения!$B$47,0)</f>
        <v/>
      </c>
      <c r="M35" s="7">
        <f>IF(M34&gt;Допущения!$B$46,M12*Допущения!$B$47,0)</f>
        <v/>
      </c>
      <c r="N35" s="7">
        <f>IF(N34&gt;Допущения!$B$46,N12*Допущения!$B$47,0)</f>
        <v/>
      </c>
      <c r="O35" s="7">
        <f>IF(O34&gt;Допущения!$B$46,O12*Допущения!$B$47,0)</f>
        <v/>
      </c>
      <c r="P35" s="7">
        <f>IF(P34&gt;Допущения!$B$46,P12*Допущения!$B$47,0)</f>
        <v/>
      </c>
      <c r="Q35" s="7">
        <f>IF(Q34&gt;Допущения!$B$46,Q12*Допущения!$B$47,0)</f>
        <v/>
      </c>
      <c r="R35" s="7">
        <f>IF(R34&gt;Допущения!$B$46,R12*Допущения!$B$47,0)</f>
        <v/>
      </c>
      <c r="S35" s="7">
        <f>IF(S34&gt;Допущения!$B$46,S12*Допущения!$B$47,0)</f>
        <v/>
      </c>
      <c r="T35" s="7">
        <f>IF(T34&gt;Допущения!$B$46,T12*Допущения!$B$47,0)</f>
        <v/>
      </c>
      <c r="U35" s="7">
        <f>IF(U34&gt;Допущения!$B$46,U12*Допущения!$B$47,0)</f>
        <v/>
      </c>
      <c r="V35" s="7">
        <f>IF(V34&gt;Допущения!$B$46,V12*Допущения!$B$47,0)</f>
        <v/>
      </c>
      <c r="W35" s="7">
        <f>IF(W34&gt;Допущения!$B$46,W12*Допущения!$B$47,0)</f>
        <v/>
      </c>
      <c r="X35" s="7">
        <f>IF(X34&gt;Допущения!$B$46,X12*Допущения!$B$47,0)</f>
        <v/>
      </c>
      <c r="Y35" s="7">
        <f>IF(Y34&gt;Допущения!$B$46,Y12*Допущения!$B$47,0)</f>
        <v/>
      </c>
      <c r="Z35" s="8" t="inlineStr">
        <is>
          <t>Пока доход с начала года не перевалил за 20 млн ₽ — НДС нет вовсе.</t>
        </is>
      </c>
    </row>
    <row r="36">
      <c r="A36" s="17" t="inlineStr">
        <is>
          <t>База УСН (доходы минус расходы)</t>
        </is>
      </c>
      <c r="B36" s="7">
        <f>B12-B32-B35</f>
        <v/>
      </c>
      <c r="C36" s="7">
        <f>C12-C32-C35</f>
        <v/>
      </c>
      <c r="D36" s="7">
        <f>D12-D32-D35</f>
        <v/>
      </c>
      <c r="E36" s="7">
        <f>E12-E32-E35</f>
        <v/>
      </c>
      <c r="F36" s="7">
        <f>F12-F32-F35</f>
        <v/>
      </c>
      <c r="G36" s="7">
        <f>G12-G32-G35</f>
        <v/>
      </c>
      <c r="H36" s="7">
        <f>H12-H32-H35</f>
        <v/>
      </c>
      <c r="I36" s="7">
        <f>I12-I32-I35</f>
        <v/>
      </c>
      <c r="J36" s="7">
        <f>J12-J32-J35</f>
        <v/>
      </c>
      <c r="K36" s="7">
        <f>K12-K32-K35</f>
        <v/>
      </c>
      <c r="L36" s="7">
        <f>L12-L32-L35</f>
        <v/>
      </c>
      <c r="M36" s="7">
        <f>M12-M32-M35</f>
        <v/>
      </c>
      <c r="N36" s="7">
        <f>N12-N32-N35</f>
        <v/>
      </c>
      <c r="O36" s="7">
        <f>O12-O32-O35</f>
        <v/>
      </c>
      <c r="P36" s="7">
        <f>P12-P32-P35</f>
        <v/>
      </c>
      <c r="Q36" s="7">
        <f>Q12-Q32-Q35</f>
        <v/>
      </c>
      <c r="R36" s="7">
        <f>R12-R32-R35</f>
        <v/>
      </c>
      <c r="S36" s="7">
        <f>S12-S32-S35</f>
        <v/>
      </c>
      <c r="T36" s="7">
        <f>T12-T32-T35</f>
        <v/>
      </c>
      <c r="U36" s="7">
        <f>U12-U32-U35</f>
        <v/>
      </c>
      <c r="V36" s="7">
        <f>V12-V32-V35</f>
        <v/>
      </c>
      <c r="W36" s="7">
        <f>W12-W32-W35</f>
        <v/>
      </c>
      <c r="X36" s="7">
        <f>X12-X32-X35</f>
        <v/>
      </c>
      <c r="Y36" s="7">
        <f>Y12-Y32-Y35</f>
        <v/>
      </c>
    </row>
    <row r="37">
      <c r="A37" s="17" t="inlineStr">
        <is>
          <t>Налог УСН</t>
        </is>
      </c>
      <c r="B37" s="7">
        <f>MAX(B36*Допущения!$B$44,B12*Допущения!$B$45)</f>
        <v/>
      </c>
      <c r="C37" s="7">
        <f>MAX(C36*Допущения!$B$44,C12*Допущения!$B$45)</f>
        <v/>
      </c>
      <c r="D37" s="7">
        <f>MAX(D36*Допущения!$B$44,D12*Допущения!$B$45)</f>
        <v/>
      </c>
      <c r="E37" s="7">
        <f>MAX(E36*Допущения!$B$44,E12*Допущения!$B$45)</f>
        <v/>
      </c>
      <c r="F37" s="7">
        <f>MAX(F36*Допущения!$B$44,F12*Допущения!$B$45)</f>
        <v/>
      </c>
      <c r="G37" s="7">
        <f>MAX(G36*Допущения!$B$44,G12*Допущения!$B$45)</f>
        <v/>
      </c>
      <c r="H37" s="7">
        <f>MAX(H36*Допущения!$B$44,H12*Допущения!$B$45)</f>
        <v/>
      </c>
      <c r="I37" s="7">
        <f>MAX(I36*Допущения!$B$44,I12*Допущения!$B$45)</f>
        <v/>
      </c>
      <c r="J37" s="7">
        <f>MAX(J36*Допущения!$B$44,J12*Допущения!$B$45)</f>
        <v/>
      </c>
      <c r="K37" s="7">
        <f>MAX(K36*Допущения!$B$44,K12*Допущения!$B$45)</f>
        <v/>
      </c>
      <c r="L37" s="7">
        <f>MAX(L36*Допущения!$B$44,L12*Допущения!$B$45)</f>
        <v/>
      </c>
      <c r="M37" s="7">
        <f>MAX(M36*Допущения!$B$44,M12*Допущения!$B$45)</f>
        <v/>
      </c>
      <c r="N37" s="7">
        <f>MAX(N36*Допущения!$B$44,N12*Допущения!$B$45)</f>
        <v/>
      </c>
      <c r="O37" s="7">
        <f>MAX(O36*Допущения!$B$44,O12*Допущения!$B$45)</f>
        <v/>
      </c>
      <c r="P37" s="7">
        <f>MAX(P36*Допущения!$B$44,P12*Допущения!$B$45)</f>
        <v/>
      </c>
      <c r="Q37" s="7">
        <f>MAX(Q36*Допущения!$B$44,Q12*Допущения!$B$45)</f>
        <v/>
      </c>
      <c r="R37" s="7">
        <f>MAX(R36*Допущения!$B$44,R12*Допущения!$B$45)</f>
        <v/>
      </c>
      <c r="S37" s="7">
        <f>MAX(S36*Допущения!$B$44,S12*Допущения!$B$45)</f>
        <v/>
      </c>
      <c r="T37" s="7">
        <f>MAX(T36*Допущения!$B$44,T12*Допущения!$B$45)</f>
        <v/>
      </c>
      <c r="U37" s="7">
        <f>MAX(U36*Допущения!$B$44,U12*Допущения!$B$45)</f>
        <v/>
      </c>
      <c r="V37" s="7">
        <f>MAX(V36*Допущения!$B$44,V12*Допущения!$B$45)</f>
        <v/>
      </c>
      <c r="W37" s="7">
        <f>MAX(W36*Допущения!$B$44,W12*Допущения!$B$45)</f>
        <v/>
      </c>
      <c r="X37" s="7">
        <f>MAX(X36*Допущения!$B$44,X12*Допущения!$B$45)</f>
        <v/>
      </c>
      <c r="Y37" s="7">
        <f>MAX(Y36*Допущения!$B$44,Y12*Допущения!$B$45)</f>
        <v/>
      </c>
      <c r="Z37" s="8" t="inlineStr">
        <is>
          <t>Большее из двух: 15% с разницы или 1% с дохода. В убыточные месяцы платится минимальный налог — его платят и при убытке, это регулярно забывают.</t>
        </is>
      </c>
    </row>
    <row r="38">
      <c r="A38" s="5" t="inlineStr">
        <is>
          <t>Налоги всего</t>
        </is>
      </c>
      <c r="B38" s="14">
        <f>B35+B37</f>
        <v/>
      </c>
      <c r="C38" s="14">
        <f>C35+C37</f>
        <v/>
      </c>
      <c r="D38" s="14">
        <f>D35+D37</f>
        <v/>
      </c>
      <c r="E38" s="14">
        <f>E35+E37</f>
        <v/>
      </c>
      <c r="F38" s="14">
        <f>F35+F37</f>
        <v/>
      </c>
      <c r="G38" s="14">
        <f>G35+G37</f>
        <v/>
      </c>
      <c r="H38" s="14">
        <f>H35+H37</f>
        <v/>
      </c>
      <c r="I38" s="14">
        <f>I35+I37</f>
        <v/>
      </c>
      <c r="J38" s="14">
        <f>J35+J37</f>
        <v/>
      </c>
      <c r="K38" s="14">
        <f>K35+K37</f>
        <v/>
      </c>
      <c r="L38" s="14">
        <f>L35+L37</f>
        <v/>
      </c>
      <c r="M38" s="14">
        <f>M35+M37</f>
        <v/>
      </c>
      <c r="N38" s="14">
        <f>N35+N37</f>
        <v/>
      </c>
      <c r="O38" s="14">
        <f>O35+O37</f>
        <v/>
      </c>
      <c r="P38" s="14">
        <f>P35+P37</f>
        <v/>
      </c>
      <c r="Q38" s="14">
        <f>Q35+Q37</f>
        <v/>
      </c>
      <c r="R38" s="14">
        <f>R35+R37</f>
        <v/>
      </c>
      <c r="S38" s="14">
        <f>S35+S37</f>
        <v/>
      </c>
      <c r="T38" s="14">
        <f>T35+T37</f>
        <v/>
      </c>
      <c r="U38" s="14">
        <f>U35+U37</f>
        <v/>
      </c>
      <c r="V38" s="14">
        <f>V35+V37</f>
        <v/>
      </c>
      <c r="W38" s="14">
        <f>W35+W37</f>
        <v/>
      </c>
      <c r="X38" s="14">
        <f>X35+X37</f>
        <v/>
      </c>
      <c r="Y38" s="14">
        <f>Y35+Y37</f>
        <v/>
      </c>
    </row>
    <row r="39">
      <c r="A39" s="3" t="inlineStr">
        <is>
          <t>Итог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>
      <c r="A40" s="5" t="inlineStr">
        <is>
          <t>Прибыль до налогов</t>
        </is>
      </c>
      <c r="B40" s="14">
        <f>B12-B32</f>
        <v/>
      </c>
      <c r="C40" s="14">
        <f>C12-C32</f>
        <v/>
      </c>
      <c r="D40" s="14">
        <f>D12-D32</f>
        <v/>
      </c>
      <c r="E40" s="14">
        <f>E12-E32</f>
        <v/>
      </c>
      <c r="F40" s="14">
        <f>F12-F32</f>
        <v/>
      </c>
      <c r="G40" s="14">
        <f>G12-G32</f>
        <v/>
      </c>
      <c r="H40" s="14">
        <f>H12-H32</f>
        <v/>
      </c>
      <c r="I40" s="14">
        <f>I12-I32</f>
        <v/>
      </c>
      <c r="J40" s="14">
        <f>J12-J32</f>
        <v/>
      </c>
      <c r="K40" s="14">
        <f>K12-K32</f>
        <v/>
      </c>
      <c r="L40" s="14">
        <f>L12-L32</f>
        <v/>
      </c>
      <c r="M40" s="14">
        <f>M12-M32</f>
        <v/>
      </c>
      <c r="N40" s="14">
        <f>N12-N32</f>
        <v/>
      </c>
      <c r="O40" s="14">
        <f>O12-O32</f>
        <v/>
      </c>
      <c r="P40" s="14">
        <f>P12-P32</f>
        <v/>
      </c>
      <c r="Q40" s="14">
        <f>Q12-Q32</f>
        <v/>
      </c>
      <c r="R40" s="14">
        <f>R12-R32</f>
        <v/>
      </c>
      <c r="S40" s="14">
        <f>S12-S32</f>
        <v/>
      </c>
      <c r="T40" s="14">
        <f>T12-T32</f>
        <v/>
      </c>
      <c r="U40" s="14">
        <f>U12-U32</f>
        <v/>
      </c>
      <c r="V40" s="14">
        <f>V12-V32</f>
        <v/>
      </c>
      <c r="W40" s="14">
        <f>W12-W32</f>
        <v/>
      </c>
      <c r="X40" s="14">
        <f>X12-X32</f>
        <v/>
      </c>
      <c r="Y40" s="14">
        <f>Y12-Y32</f>
        <v/>
      </c>
    </row>
    <row r="41">
      <c r="A41" s="5" t="inlineStr">
        <is>
          <t>Чистая прибыль</t>
        </is>
      </c>
      <c r="B41" s="14">
        <f>B40-B38</f>
        <v/>
      </c>
      <c r="C41" s="14">
        <f>C40-C38</f>
        <v/>
      </c>
      <c r="D41" s="14">
        <f>D40-D38</f>
        <v/>
      </c>
      <c r="E41" s="14">
        <f>E40-E38</f>
        <v/>
      </c>
      <c r="F41" s="14">
        <f>F40-F38</f>
        <v/>
      </c>
      <c r="G41" s="14">
        <f>G40-G38</f>
        <v/>
      </c>
      <c r="H41" s="14">
        <f>H40-H38</f>
        <v/>
      </c>
      <c r="I41" s="14">
        <f>I40-I38</f>
        <v/>
      </c>
      <c r="J41" s="14">
        <f>J40-J38</f>
        <v/>
      </c>
      <c r="K41" s="14">
        <f>K40-K38</f>
        <v/>
      </c>
      <c r="L41" s="14">
        <f>L40-L38</f>
        <v/>
      </c>
      <c r="M41" s="14">
        <f>M40-M38</f>
        <v/>
      </c>
      <c r="N41" s="14">
        <f>N40-N38</f>
        <v/>
      </c>
      <c r="O41" s="14">
        <f>O40-O38</f>
        <v/>
      </c>
      <c r="P41" s="14">
        <f>P40-P38</f>
        <v/>
      </c>
      <c r="Q41" s="14">
        <f>Q40-Q38</f>
        <v/>
      </c>
      <c r="R41" s="14">
        <f>R40-R38</f>
        <v/>
      </c>
      <c r="S41" s="14">
        <f>S40-S38</f>
        <v/>
      </c>
      <c r="T41" s="14">
        <f>T40-T38</f>
        <v/>
      </c>
      <c r="U41" s="14">
        <f>U40-U38</f>
        <v/>
      </c>
      <c r="V41" s="14">
        <f>V40-V38</f>
        <v/>
      </c>
      <c r="W41" s="14">
        <f>W40-W38</f>
        <v/>
      </c>
      <c r="X41" s="14">
        <f>X40-X38</f>
        <v/>
      </c>
      <c r="Y41" s="14">
        <f>Y40-Y38</f>
        <v/>
      </c>
    </row>
    <row r="42">
      <c r="A42" s="5" t="inlineStr">
        <is>
          <t>Денежный поток за месяц</t>
        </is>
      </c>
      <c r="B42" s="14">
        <f>B13-B32-B38</f>
        <v/>
      </c>
      <c r="C42" s="14">
        <f>C13-C32-C38</f>
        <v/>
      </c>
      <c r="D42" s="14">
        <f>D13-D32-D38</f>
        <v/>
      </c>
      <c r="E42" s="14">
        <f>E13-E32-E38</f>
        <v/>
      </c>
      <c r="F42" s="14">
        <f>F13-F32-F38</f>
        <v/>
      </c>
      <c r="G42" s="14">
        <f>G13-G32-G38</f>
        <v/>
      </c>
      <c r="H42" s="14">
        <f>H13-H32-H38</f>
        <v/>
      </c>
      <c r="I42" s="14">
        <f>I13-I32-I38</f>
        <v/>
      </c>
      <c r="J42" s="14">
        <f>J13-J32-J38</f>
        <v/>
      </c>
      <c r="K42" s="14">
        <f>K13-K32-K38</f>
        <v/>
      </c>
      <c r="L42" s="14">
        <f>L13-L32-L38</f>
        <v/>
      </c>
      <c r="M42" s="14">
        <f>M13-M32-M38</f>
        <v/>
      </c>
      <c r="N42" s="14">
        <f>N13-N32-N38</f>
        <v/>
      </c>
      <c r="O42" s="14">
        <f>O13-O32-O38</f>
        <v/>
      </c>
      <c r="P42" s="14">
        <f>P13-P32-P38</f>
        <v/>
      </c>
      <c r="Q42" s="14">
        <f>Q13-Q32-Q38</f>
        <v/>
      </c>
      <c r="R42" s="14">
        <f>R13-R32-R38</f>
        <v/>
      </c>
      <c r="S42" s="14">
        <f>S13-S32-S38</f>
        <v/>
      </c>
      <c r="T42" s="14">
        <f>T13-T32-T38</f>
        <v/>
      </c>
      <c r="U42" s="14">
        <f>U13-U32-U38</f>
        <v/>
      </c>
      <c r="V42" s="14">
        <f>V13-V32-V38</f>
        <v/>
      </c>
      <c r="W42" s="14">
        <f>W13-W32-W38</f>
        <v/>
      </c>
      <c r="X42" s="14">
        <f>X13-X32-X38</f>
        <v/>
      </c>
      <c r="Y42" s="14">
        <f>Y13-Y32-Y38</f>
        <v/>
      </c>
    </row>
    <row r="43">
      <c r="A43" s="5" t="inlineStr">
        <is>
          <t>Деньги на конец месяца</t>
        </is>
      </c>
      <c r="B43" s="14">
        <f>Допущения!$B$52+B42</f>
        <v/>
      </c>
      <c r="C43" s="14">
        <f>B43+C42</f>
        <v/>
      </c>
      <c r="D43" s="14">
        <f>C43+D42</f>
        <v/>
      </c>
      <c r="E43" s="14">
        <f>D43+E42</f>
        <v/>
      </c>
      <c r="F43" s="14">
        <f>E43+F42</f>
        <v/>
      </c>
      <c r="G43" s="14">
        <f>F43+G42</f>
        <v/>
      </c>
      <c r="H43" s="14">
        <f>G43+H42</f>
        <v/>
      </c>
      <c r="I43" s="14">
        <f>H43+I42</f>
        <v/>
      </c>
      <c r="J43" s="14">
        <f>I43+J42</f>
        <v/>
      </c>
      <c r="K43" s="14">
        <f>J43+K42</f>
        <v/>
      </c>
      <c r="L43" s="14">
        <f>K43+L42</f>
        <v/>
      </c>
      <c r="M43" s="14">
        <f>L43+M42</f>
        <v/>
      </c>
      <c r="N43" s="14">
        <f>M43+N42</f>
        <v/>
      </c>
      <c r="O43" s="14">
        <f>N43+O42</f>
        <v/>
      </c>
      <c r="P43" s="14">
        <f>O43+P42</f>
        <v/>
      </c>
      <c r="Q43" s="14">
        <f>P43+Q42</f>
        <v/>
      </c>
      <c r="R43" s="14">
        <f>Q43+R42</f>
        <v/>
      </c>
      <c r="S43" s="14">
        <f>R43+S42</f>
        <v/>
      </c>
      <c r="T43" s="14">
        <f>S43+T42</f>
        <v/>
      </c>
      <c r="U43" s="14">
        <f>T43+U42</f>
        <v/>
      </c>
      <c r="V43" s="14">
        <f>U43+V42</f>
        <v/>
      </c>
      <c r="W43" s="14">
        <f>V43+W42</f>
        <v/>
      </c>
      <c r="X43" s="14">
        <f>W43+X42</f>
        <v/>
      </c>
      <c r="Y43" s="14">
        <f>X43+Y42</f>
        <v/>
      </c>
      <c r="Z43" s="8" t="inlineStr">
        <is>
          <t>Месяц, в котором это число уходит в минус, — тот, до которого нужны деньги.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60" customWidth="1" min="26" max="26"/>
  </cols>
  <sheetData>
    <row r="1">
      <c r="A1" s="1" t="inlineStr">
        <is>
          <t>Расчёт по месяцам — подписка 990 ₽ в месяц</t>
        </is>
      </c>
    </row>
    <row r="2">
      <c r="A2" s="2" t="inlineStr">
        <is>
          <t>Каждая клетка — формула от листа «Допущения», колонка C. Меняете там — меняется здесь.</t>
        </is>
      </c>
    </row>
    <row r="3">
      <c r="A3" s="18" t="inlineStr">
        <is>
          <t>Месяц</t>
        </is>
      </c>
      <c r="B3" s="18" t="inlineStr">
        <is>
          <t>окт 2026</t>
        </is>
      </c>
      <c r="C3" s="18" t="inlineStr">
        <is>
          <t>ноя 2026</t>
        </is>
      </c>
      <c r="D3" s="18" t="inlineStr">
        <is>
          <t>дек 2026</t>
        </is>
      </c>
      <c r="E3" s="18" t="inlineStr">
        <is>
          <t>янв 2027</t>
        </is>
      </c>
      <c r="F3" s="18" t="inlineStr">
        <is>
          <t>фев 2027</t>
        </is>
      </c>
      <c r="G3" s="18" t="inlineStr">
        <is>
          <t>мар 2027</t>
        </is>
      </c>
      <c r="H3" s="18" t="inlineStr">
        <is>
          <t>апр 2027</t>
        </is>
      </c>
      <c r="I3" s="18" t="inlineStr">
        <is>
          <t>май 2027</t>
        </is>
      </c>
      <c r="J3" s="18" t="inlineStr">
        <is>
          <t>июн 2027</t>
        </is>
      </c>
      <c r="K3" s="18" t="inlineStr">
        <is>
          <t>июл 2027</t>
        </is>
      </c>
      <c r="L3" s="18" t="inlineStr">
        <is>
          <t>авг 2027</t>
        </is>
      </c>
      <c r="M3" s="18" t="inlineStr">
        <is>
          <t>сен 2027</t>
        </is>
      </c>
      <c r="N3" s="18" t="inlineStr">
        <is>
          <t>окт 2027</t>
        </is>
      </c>
      <c r="O3" s="18" t="inlineStr">
        <is>
          <t>ноя 2027</t>
        </is>
      </c>
      <c r="P3" s="18" t="inlineStr">
        <is>
          <t>дек 2027</t>
        </is>
      </c>
      <c r="Q3" s="18" t="inlineStr">
        <is>
          <t>янв 2028</t>
        </is>
      </c>
      <c r="R3" s="18" t="inlineStr">
        <is>
          <t>фев 2028</t>
        </is>
      </c>
      <c r="S3" s="18" t="inlineStr">
        <is>
          <t>мар 2028</t>
        </is>
      </c>
      <c r="T3" s="18" t="inlineStr">
        <is>
          <t>апр 2028</t>
        </is>
      </c>
      <c r="U3" s="18" t="inlineStr">
        <is>
          <t>май 2028</t>
        </is>
      </c>
      <c r="V3" s="18" t="inlineStr">
        <is>
          <t>июн 2028</t>
        </is>
      </c>
      <c r="W3" s="18" t="inlineStr">
        <is>
          <t>июл 2028</t>
        </is>
      </c>
      <c r="X3" s="18" t="inlineStr">
        <is>
          <t>авг 2028</t>
        </is>
      </c>
      <c r="Y3" s="18" t="inlineStr">
        <is>
          <t>сен 2028</t>
        </is>
      </c>
    </row>
    <row r="4">
      <c r="A4" s="3" t="inlineStr">
        <is>
          <t>Воронка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>
      <c r="A5" s="17" t="inlineStr">
        <is>
          <t>Зарегистрировано всего (накопленно)</t>
        </is>
      </c>
      <c r="B5" s="11">
        <f>B8</f>
        <v/>
      </c>
      <c r="C5" s="11">
        <f>B5+C8</f>
        <v/>
      </c>
      <c r="D5" s="11">
        <f>C5+D8</f>
        <v/>
      </c>
      <c r="E5" s="11">
        <f>D5+E8</f>
        <v/>
      </c>
      <c r="F5" s="11">
        <f>E5+F8</f>
        <v/>
      </c>
      <c r="G5" s="11">
        <f>F5+G8</f>
        <v/>
      </c>
      <c r="H5" s="11">
        <f>G5+H8</f>
        <v/>
      </c>
      <c r="I5" s="11">
        <f>H5+I8</f>
        <v/>
      </c>
      <c r="J5" s="11">
        <f>I5+J8</f>
        <v/>
      </c>
      <c r="K5" s="11">
        <f>J5+K8</f>
        <v/>
      </c>
      <c r="L5" s="11">
        <f>K5+L8</f>
        <v/>
      </c>
      <c r="M5" s="11">
        <f>L5+M8</f>
        <v/>
      </c>
      <c r="N5" s="11">
        <f>M5+N8</f>
        <v/>
      </c>
      <c r="O5" s="11">
        <f>N5+O8</f>
        <v/>
      </c>
      <c r="P5" s="11">
        <f>O5+P8</f>
        <v/>
      </c>
      <c r="Q5" s="11">
        <f>P5+Q8</f>
        <v/>
      </c>
      <c r="R5" s="11">
        <f>Q5+R8</f>
        <v/>
      </c>
      <c r="S5" s="11">
        <f>R5+S8</f>
        <v/>
      </c>
      <c r="T5" s="11">
        <f>S5+T8</f>
        <v/>
      </c>
      <c r="U5" s="11">
        <f>T5+U8</f>
        <v/>
      </c>
      <c r="V5" s="11">
        <f>U5+V8</f>
        <v/>
      </c>
      <c r="W5" s="11">
        <f>V5+W8</f>
        <v/>
      </c>
      <c r="X5" s="11">
        <f>W5+X8</f>
        <v/>
      </c>
      <c r="Y5" s="11">
        <f>X5+Y8</f>
        <v/>
      </c>
    </row>
    <row r="6">
      <c r="A6" s="17" t="inlineStr">
        <is>
          <t xml:space="preserve">  из них органических за месяц</t>
        </is>
      </c>
      <c r="B6" s="11">
        <f>Допущения!$C$17*(1+Допущения!$C$18)^0</f>
        <v/>
      </c>
      <c r="C6" s="11">
        <f>Допущения!$C$17*(1+Допущения!$C$18)^1</f>
        <v/>
      </c>
      <c r="D6" s="11">
        <f>Допущения!$C$17*(1+Допущения!$C$18)^2</f>
        <v/>
      </c>
      <c r="E6" s="11">
        <f>Допущения!$C$17*(1+Допущения!$C$18)^3</f>
        <v/>
      </c>
      <c r="F6" s="11">
        <f>Допущения!$C$17*(1+Допущения!$C$18)^4</f>
        <v/>
      </c>
      <c r="G6" s="11">
        <f>Допущения!$C$17*(1+Допущения!$C$18)^5</f>
        <v/>
      </c>
      <c r="H6" s="11">
        <f>Допущения!$C$17*(1+Допущения!$C$18)^6</f>
        <v/>
      </c>
      <c r="I6" s="11">
        <f>Допущения!$C$17*(1+Допущения!$C$18)^7</f>
        <v/>
      </c>
      <c r="J6" s="11">
        <f>Допущения!$C$17*(1+Допущения!$C$18)^8</f>
        <v/>
      </c>
      <c r="K6" s="11">
        <f>Допущения!$C$17*(1+Допущения!$C$18)^9</f>
        <v/>
      </c>
      <c r="L6" s="11">
        <f>Допущения!$C$17*(1+Допущения!$C$18)^10</f>
        <v/>
      </c>
      <c r="M6" s="11">
        <f>Допущения!$C$17*(1+Допущения!$C$18)^11</f>
        <v/>
      </c>
      <c r="N6" s="11">
        <f>Допущения!$C$17*(1+Допущения!$C$18)^12</f>
        <v/>
      </c>
      <c r="O6" s="11">
        <f>Допущения!$C$17*(1+Допущения!$C$18)^13</f>
        <v/>
      </c>
      <c r="P6" s="11">
        <f>Допущения!$C$17*(1+Допущения!$C$18)^14</f>
        <v/>
      </c>
      <c r="Q6" s="11">
        <f>Допущения!$C$17*(1+Допущения!$C$18)^15</f>
        <v/>
      </c>
      <c r="R6" s="11">
        <f>Допущения!$C$17*(1+Допущения!$C$18)^16</f>
        <v/>
      </c>
      <c r="S6" s="11">
        <f>Допущения!$C$17*(1+Допущения!$C$18)^17</f>
        <v/>
      </c>
      <c r="T6" s="11">
        <f>Допущения!$C$17*(1+Допущения!$C$18)^18</f>
        <v/>
      </c>
      <c r="U6" s="11">
        <f>Допущения!$C$17*(1+Допущения!$C$18)^19</f>
        <v/>
      </c>
      <c r="V6" s="11">
        <f>Допущения!$C$17*(1+Допущения!$C$18)^20</f>
        <v/>
      </c>
      <c r="W6" s="11">
        <f>Допущения!$C$17*(1+Допущения!$C$18)^21</f>
        <v/>
      </c>
      <c r="X6" s="11">
        <f>Допущения!$C$17*(1+Допущения!$C$18)^22</f>
        <v/>
      </c>
      <c r="Y6" s="11">
        <f>Допущения!$C$17*(1+Допущения!$C$18)^23</f>
        <v/>
      </c>
    </row>
    <row r="7">
      <c r="A7" s="17" t="inlineStr">
        <is>
          <t xml:space="preserve">  из них из платного продвижения</t>
        </is>
      </c>
      <c r="B7" s="11">
        <f>Допущения!$C$34/Допущения!$C$19</f>
        <v/>
      </c>
      <c r="C7" s="11">
        <f>Допущения!$C$34/Допущения!$C$19</f>
        <v/>
      </c>
      <c r="D7" s="11">
        <f>Допущения!$C$34/Допущения!$C$19</f>
        <v/>
      </c>
      <c r="E7" s="11">
        <f>Допущения!$C$34/Допущения!$C$19</f>
        <v/>
      </c>
      <c r="F7" s="11">
        <f>Допущения!$C$34/Допущения!$C$19</f>
        <v/>
      </c>
      <c r="G7" s="11">
        <f>Допущения!$C$34/Допущения!$C$19</f>
        <v/>
      </c>
      <c r="H7" s="11">
        <f>Допущения!$C$34/Допущения!$C$19</f>
        <v/>
      </c>
      <c r="I7" s="11">
        <f>Допущения!$C$34/Допущения!$C$19</f>
        <v/>
      </c>
      <c r="J7" s="11">
        <f>Допущения!$C$34/Допущения!$C$19</f>
        <v/>
      </c>
      <c r="K7" s="11">
        <f>Допущения!$C$34/Допущения!$C$19</f>
        <v/>
      </c>
      <c r="L7" s="11">
        <f>Допущения!$C$34/Допущения!$C$19</f>
        <v/>
      </c>
      <c r="M7" s="11">
        <f>Допущения!$C$34/Допущения!$C$19</f>
        <v/>
      </c>
      <c r="N7" s="11">
        <f>Допущения!$C$34/Допущения!$C$19</f>
        <v/>
      </c>
      <c r="O7" s="11">
        <f>Допущения!$C$34/Допущения!$C$19</f>
        <v/>
      </c>
      <c r="P7" s="11">
        <f>Допущения!$C$34/Допущения!$C$19</f>
        <v/>
      </c>
      <c r="Q7" s="11">
        <f>Допущения!$C$34/Допущения!$C$19</f>
        <v/>
      </c>
      <c r="R7" s="11">
        <f>Допущения!$C$34/Допущения!$C$19</f>
        <v/>
      </c>
      <c r="S7" s="11">
        <f>Допущения!$C$34/Допущения!$C$19</f>
        <v/>
      </c>
      <c r="T7" s="11">
        <f>Допущения!$C$34/Допущения!$C$19</f>
        <v/>
      </c>
      <c r="U7" s="11">
        <f>Допущения!$C$34/Допущения!$C$19</f>
        <v/>
      </c>
      <c r="V7" s="11">
        <f>Допущения!$C$34/Допущения!$C$19</f>
        <v/>
      </c>
      <c r="W7" s="11">
        <f>Допущения!$C$34/Допущения!$C$19</f>
        <v/>
      </c>
      <c r="X7" s="11">
        <f>Допущения!$C$34/Допущения!$C$19</f>
        <v/>
      </c>
      <c r="Y7" s="11">
        <f>Допущения!$C$34/Допущения!$C$19</f>
        <v/>
      </c>
      <c r="Z7" s="8" t="inlineStr">
        <is>
          <t>Бюджет продвижения, делённый на стоимость одной регистрации. Вот здесь деньги превращаются в людей — и здесь же видно, во сколько это обходится.</t>
        </is>
      </c>
    </row>
    <row r="8">
      <c r="A8" s="17" t="inlineStr">
        <is>
          <t>Регистраций за месяц</t>
        </is>
      </c>
      <c r="B8" s="11">
        <f>ROUND((B6+B7)*1,0)</f>
        <v/>
      </c>
      <c r="C8" s="11">
        <f>ROUND((C6+C7)*MAX(0,1-B5/Допущения!$C$15),0)</f>
        <v/>
      </c>
      <c r="D8" s="11">
        <f>ROUND((D6+D7)*MAX(0,1-C5/Допущения!$C$15),0)</f>
        <v/>
      </c>
      <c r="E8" s="11">
        <f>ROUND((E6+E7)*MAX(0,1-D5/Допущения!$C$15),0)</f>
        <v/>
      </c>
      <c r="F8" s="11">
        <f>ROUND((F6+F7)*MAX(0,1-E5/Допущения!$C$15),0)</f>
        <v/>
      </c>
      <c r="G8" s="11">
        <f>ROUND((G6+G7)*MAX(0,1-F5/Допущения!$C$15),0)</f>
        <v/>
      </c>
      <c r="H8" s="11">
        <f>ROUND((H6+H7)*MAX(0,1-G5/Допущения!$C$15),0)</f>
        <v/>
      </c>
      <c r="I8" s="11">
        <f>ROUND((I6+I7)*MAX(0,1-H5/Допущения!$C$15),0)</f>
        <v/>
      </c>
      <c r="J8" s="11">
        <f>ROUND((J6+J7)*MAX(0,1-I5/Допущения!$C$15),0)</f>
        <v/>
      </c>
      <c r="K8" s="11">
        <f>ROUND((K6+K7)*MAX(0,1-J5/Допущения!$C$15),0)</f>
        <v/>
      </c>
      <c r="L8" s="11">
        <f>ROUND((L6+L7)*MAX(0,1-K5/Допущения!$C$15),0)</f>
        <v/>
      </c>
      <c r="M8" s="11">
        <f>ROUND((M6+M7)*MAX(0,1-L5/Допущения!$C$15),0)</f>
        <v/>
      </c>
      <c r="N8" s="11">
        <f>ROUND((N6+N7)*MAX(0,1-M5/Допущения!$C$15),0)</f>
        <v/>
      </c>
      <c r="O8" s="11">
        <f>ROUND((O6+O7)*MAX(0,1-N5/Допущения!$C$15),0)</f>
        <v/>
      </c>
      <c r="P8" s="11">
        <f>ROUND((P6+P7)*MAX(0,1-O5/Допущения!$C$15),0)</f>
        <v/>
      </c>
      <c r="Q8" s="11">
        <f>ROUND((Q6+Q7)*MAX(0,1-P5/Допущения!$C$15),0)</f>
        <v/>
      </c>
      <c r="R8" s="11">
        <f>ROUND((R6+R7)*MAX(0,1-Q5/Допущения!$C$15),0)</f>
        <v/>
      </c>
      <c r="S8" s="11">
        <f>ROUND((S6+S7)*MAX(0,1-R5/Допущения!$C$15),0)</f>
        <v/>
      </c>
      <c r="T8" s="11">
        <f>ROUND((T6+T7)*MAX(0,1-S5/Допущения!$C$15),0)</f>
        <v/>
      </c>
      <c r="U8" s="11">
        <f>ROUND((U6+U7)*MAX(0,1-T5/Допущения!$C$15),0)</f>
        <v/>
      </c>
      <c r="V8" s="11">
        <f>ROUND((V6+V7)*MAX(0,1-U5/Допущения!$C$15),0)</f>
        <v/>
      </c>
      <c r="W8" s="11">
        <f>ROUND((W6+W7)*MAX(0,1-V5/Допущения!$C$15),0)</f>
        <v/>
      </c>
      <c r="X8" s="11">
        <f>ROUND((X6+X7)*MAX(0,1-W5/Допущения!$C$15),0)</f>
        <v/>
      </c>
      <c r="Y8" s="11">
        <f>ROUND((Y6+Y7)*MAX(0,1-X5/Допущения!$C$15),0)</f>
        <v/>
      </c>
      <c r="Z8" s="8" t="inlineStr">
        <is>
          <t>Рост гасится по мере заполнения рынка: множитель «сколько ещё осталось незарегистрированных» из потолка. Без него экспонента обещает рост, которому неоткуда взяться.</t>
        </is>
      </c>
    </row>
    <row r="9">
      <c r="A9" s="17" t="inlineStr">
        <is>
          <t>Новых платящих за месяц</t>
        </is>
      </c>
      <c r="B9" s="11">
        <f>IFERROR(ROUND(INDEX($B$8:$Y$8,1,COLUMN()-1-Допущения!$C$21)*Допущения!$C$20,0),0)</f>
        <v/>
      </c>
      <c r="C9" s="11">
        <f>IFERROR(ROUND(INDEX($B$8:$Y$8,1,COLUMN()-1-Допущения!$C$21)*Допущения!$C$20,0),0)</f>
        <v/>
      </c>
      <c r="D9" s="11">
        <f>IFERROR(ROUND(INDEX($B$8:$Y$8,1,COLUMN()-1-Допущения!$C$21)*Допущения!$C$20,0),0)</f>
        <v/>
      </c>
      <c r="E9" s="11">
        <f>IFERROR(ROUND(INDEX($B$8:$Y$8,1,COLUMN()-1-Допущения!$C$21)*Допущения!$C$20,0),0)</f>
        <v/>
      </c>
      <c r="F9" s="11">
        <f>IFERROR(ROUND(INDEX($B$8:$Y$8,1,COLUMN()-1-Допущения!$C$21)*Допущения!$C$20,0),0)</f>
        <v/>
      </c>
      <c r="G9" s="11">
        <f>IFERROR(ROUND(INDEX($B$8:$Y$8,1,COLUMN()-1-Допущения!$C$21)*Допущения!$C$20,0),0)</f>
        <v/>
      </c>
      <c r="H9" s="11">
        <f>IFERROR(ROUND(INDEX($B$8:$Y$8,1,COLUMN()-1-Допущения!$C$21)*Допущения!$C$20,0),0)</f>
        <v/>
      </c>
      <c r="I9" s="11">
        <f>IFERROR(ROUND(INDEX($B$8:$Y$8,1,COLUMN()-1-Допущения!$C$21)*Допущения!$C$20,0),0)</f>
        <v/>
      </c>
      <c r="J9" s="11">
        <f>IFERROR(ROUND(INDEX($B$8:$Y$8,1,COLUMN()-1-Допущения!$C$21)*Допущения!$C$20,0),0)</f>
        <v/>
      </c>
      <c r="K9" s="11">
        <f>IFERROR(ROUND(INDEX($B$8:$Y$8,1,COLUMN()-1-Допущения!$C$21)*Допущения!$C$20,0),0)</f>
        <v/>
      </c>
      <c r="L9" s="11">
        <f>IFERROR(ROUND(INDEX($B$8:$Y$8,1,COLUMN()-1-Допущения!$C$21)*Допущения!$C$20,0),0)</f>
        <v/>
      </c>
      <c r="M9" s="11">
        <f>IFERROR(ROUND(INDEX($B$8:$Y$8,1,COLUMN()-1-Допущения!$C$21)*Допущения!$C$20,0),0)</f>
        <v/>
      </c>
      <c r="N9" s="11">
        <f>IFERROR(ROUND(INDEX($B$8:$Y$8,1,COLUMN()-1-Допущения!$C$21)*Допущения!$C$20,0),0)</f>
        <v/>
      </c>
      <c r="O9" s="11">
        <f>IFERROR(ROUND(INDEX($B$8:$Y$8,1,COLUMN()-1-Допущения!$C$21)*Допущения!$C$20,0),0)</f>
        <v/>
      </c>
      <c r="P9" s="11">
        <f>IFERROR(ROUND(INDEX($B$8:$Y$8,1,COLUMN()-1-Допущения!$C$21)*Допущения!$C$20,0),0)</f>
        <v/>
      </c>
      <c r="Q9" s="11">
        <f>IFERROR(ROUND(INDEX($B$8:$Y$8,1,COLUMN()-1-Допущения!$C$21)*Допущения!$C$20,0),0)</f>
        <v/>
      </c>
      <c r="R9" s="11">
        <f>IFERROR(ROUND(INDEX($B$8:$Y$8,1,COLUMN()-1-Допущения!$C$21)*Допущения!$C$20,0),0)</f>
        <v/>
      </c>
      <c r="S9" s="11">
        <f>IFERROR(ROUND(INDEX($B$8:$Y$8,1,COLUMN()-1-Допущения!$C$21)*Допущения!$C$20,0),0)</f>
        <v/>
      </c>
      <c r="T9" s="11">
        <f>IFERROR(ROUND(INDEX($B$8:$Y$8,1,COLUMN()-1-Допущения!$C$21)*Допущения!$C$20,0),0)</f>
        <v/>
      </c>
      <c r="U9" s="11">
        <f>IFERROR(ROUND(INDEX($B$8:$Y$8,1,COLUMN()-1-Допущения!$C$21)*Допущения!$C$20,0),0)</f>
        <v/>
      </c>
      <c r="V9" s="11">
        <f>IFERROR(ROUND(INDEX($B$8:$Y$8,1,COLUMN()-1-Допущения!$C$21)*Допущения!$C$20,0),0)</f>
        <v/>
      </c>
      <c r="W9" s="11">
        <f>IFERROR(ROUND(INDEX($B$8:$Y$8,1,COLUMN()-1-Допущения!$C$21)*Допущения!$C$20,0),0)</f>
        <v/>
      </c>
      <c r="X9" s="11">
        <f>IFERROR(ROUND(INDEX($B$8:$Y$8,1,COLUMN()-1-Допущения!$C$21)*Допущения!$C$20,0),0)</f>
        <v/>
      </c>
      <c r="Y9" s="11">
        <f>IFERROR(ROUND(INDEX($B$8:$Y$8,1,COLUMN()-1-Допущения!$C$21)*Допущения!$C$20,0),0)</f>
        <v/>
      </c>
      <c r="Z9" s="8" t="inlineStr">
        <is>
          <t>Регистрация превращается в оплату не сразу: воронка с задержкой из допущений.</t>
        </is>
      </c>
    </row>
    <row r="10">
      <c r="A10" s="17" t="inlineStr">
        <is>
          <t>Платящих всего на конец месяца</t>
        </is>
      </c>
      <c r="B10" s="11">
        <f>MIN(Допущения!$C$53+B9,Допущения!$C$15*Допущения!$C$16)</f>
        <v/>
      </c>
      <c r="C10" s="11">
        <f>MIN(B10*(1-Допущения!$C$12*(1-Допущения!$C$10*1/24))+C9,Допущения!$C$15*Допущения!$C$16)</f>
        <v/>
      </c>
      <c r="D10" s="11">
        <f>MIN(C10*(1-Допущения!$C$12*(1-Допущения!$C$10*2/24))+D9,Допущения!$C$15*Допущения!$C$16)</f>
        <v/>
      </c>
      <c r="E10" s="11">
        <f>MIN(D10*(1-Допущения!$C$12*(1-Допущения!$C$10*3/24))+E9,Допущения!$C$15*Допущения!$C$16)</f>
        <v/>
      </c>
      <c r="F10" s="11">
        <f>MIN(E10*(1-Допущения!$C$12*(1-Допущения!$C$10*4/24))+F9,Допущения!$C$15*Допущения!$C$16)</f>
        <v/>
      </c>
      <c r="G10" s="11">
        <f>MIN(F10*(1-Допущения!$C$12*(1-Допущения!$C$10*5/24))+G9,Допущения!$C$15*Допущения!$C$16)</f>
        <v/>
      </c>
      <c r="H10" s="11">
        <f>MIN(G10*(1-Допущения!$C$12*(1-Допущения!$C$10*6/24))+H9,Допущения!$C$15*Допущения!$C$16)</f>
        <v/>
      </c>
      <c r="I10" s="11">
        <f>MIN(H10*(1-Допущения!$C$12*(1-Допущения!$C$10*7/24))+I9,Допущения!$C$15*Допущения!$C$16)</f>
        <v/>
      </c>
      <c r="J10" s="11">
        <f>MIN(I10*(1-Допущения!$C$12*(1-Допущения!$C$10*8/24))+J9,Допущения!$C$15*Допущения!$C$16)</f>
        <v/>
      </c>
      <c r="K10" s="11">
        <f>MIN(J10*(1-Допущения!$C$12*(1-Допущения!$C$10*9/24))+K9,Допущения!$C$15*Допущения!$C$16)</f>
        <v/>
      </c>
      <c r="L10" s="11">
        <f>MIN(K10*(1-Допущения!$C$12*(1-Допущения!$C$10*10/24))+L9,Допущения!$C$15*Допущения!$C$16)</f>
        <v/>
      </c>
      <c r="M10" s="11">
        <f>MIN(L10*(1-Допущения!$C$12*(1-Допущения!$C$10*11/24))+M9,Допущения!$C$15*Допущения!$C$16)</f>
        <v/>
      </c>
      <c r="N10" s="11">
        <f>MIN(M10*(1-Допущения!$C$12*(1-Допущения!$C$10*12/24))+N9,Допущения!$C$15*Допущения!$C$16)</f>
        <v/>
      </c>
      <c r="O10" s="11">
        <f>MIN(N10*(1-Допущения!$C$12*(1-Допущения!$C$10*13/24))+O9,Допущения!$C$15*Допущения!$C$16)</f>
        <v/>
      </c>
      <c r="P10" s="11">
        <f>MIN(O10*(1-Допущения!$C$12*(1-Допущения!$C$10*14/24))+P9,Допущения!$C$15*Допущения!$C$16)</f>
        <v/>
      </c>
      <c r="Q10" s="11">
        <f>MIN(P10*(1-Допущения!$C$12*(1-Допущения!$C$10*15/24))+Q9,Допущения!$C$15*Допущения!$C$16)</f>
        <v/>
      </c>
      <c r="R10" s="11">
        <f>MIN(Q10*(1-Допущения!$C$12*(1-Допущения!$C$10*16/24))+R9,Допущения!$C$15*Допущения!$C$16)</f>
        <v/>
      </c>
      <c r="S10" s="11">
        <f>MIN(R10*(1-Допущения!$C$12*(1-Допущения!$C$10*17/24))+S9,Допущения!$C$15*Допущения!$C$16)</f>
        <v/>
      </c>
      <c r="T10" s="11">
        <f>MIN(S10*(1-Допущения!$C$12*(1-Допущения!$C$10*18/24))+T9,Допущения!$C$15*Допущения!$C$16)</f>
        <v/>
      </c>
      <c r="U10" s="11">
        <f>MIN(T10*(1-Допущения!$C$12*(1-Допущения!$C$10*19/24))+U9,Допущения!$C$15*Допущения!$C$16)</f>
        <v/>
      </c>
      <c r="V10" s="11">
        <f>MIN(U10*(1-Допущения!$C$12*(1-Допущения!$C$10*20/24))+V9,Допущения!$C$15*Допущения!$C$16)</f>
        <v/>
      </c>
      <c r="W10" s="11">
        <f>MIN(V10*(1-Допущения!$C$12*(1-Допущения!$C$10*21/24))+W9,Допущения!$C$15*Допущения!$C$16)</f>
        <v/>
      </c>
      <c r="X10" s="11">
        <f>MIN(W10*(1-Допущения!$C$12*(1-Допущения!$C$10*22/24))+X9,Допущения!$C$15*Допущения!$C$16)</f>
        <v/>
      </c>
      <c r="Y10" s="11">
        <f>MIN(X10*(1-Допущения!$C$12*(1-Допущения!$C$10*23/24))+Y9,Допущения!$C$15*Допущения!$C$16)</f>
        <v/>
      </c>
      <c r="Z10" s="8" t="inlineStr">
        <is>
          <t>Годовые подписки не отваливаются помесячно — доля годовых растёт линейно и гасит отток.</t>
        </is>
      </c>
    </row>
    <row r="11">
      <c r="A11" s="3" t="inlineStr">
        <is>
          <t>Выручка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>
      <c r="A12" s="17" t="inlineStr">
        <is>
          <t>Выручка за месяц</t>
        </is>
      </c>
      <c r="B12" s="7">
        <f>B10*(Допущения!$C$8*(1-Допущения!$C$10*0/24)+Допущения!$C$9/12*Допущения!$C$10*0/24)</f>
        <v/>
      </c>
      <c r="C12" s="7">
        <f>C10*(Допущения!$C$8*(1-Допущения!$C$10*1/24)+Допущения!$C$9/12*Допущения!$C$10*1/24)</f>
        <v/>
      </c>
      <c r="D12" s="7">
        <f>D10*(Допущения!$C$8*(1-Допущения!$C$10*2/24)+Допущения!$C$9/12*Допущения!$C$10*2/24)</f>
        <v/>
      </c>
      <c r="E12" s="7">
        <f>E10*(Допущения!$C$8*(1-Допущения!$C$10*3/24)+Допущения!$C$9/12*Допущения!$C$10*3/24)</f>
        <v/>
      </c>
      <c r="F12" s="7">
        <f>F10*(Допущения!$C$8*(1-Допущения!$C$10*4/24)+Допущения!$C$9/12*Допущения!$C$10*4/24)</f>
        <v/>
      </c>
      <c r="G12" s="7">
        <f>G10*(Допущения!$C$8*(1-Допущения!$C$10*5/24)+Допущения!$C$9/12*Допущения!$C$10*5/24)</f>
        <v/>
      </c>
      <c r="H12" s="7">
        <f>H10*(Допущения!$C$8*(1-Допущения!$C$10*6/24)+Допущения!$C$9/12*Допущения!$C$10*6/24)</f>
        <v/>
      </c>
      <c r="I12" s="7">
        <f>I10*(Допущения!$C$8*(1-Допущения!$C$10*7/24)+Допущения!$C$9/12*Допущения!$C$10*7/24)</f>
        <v/>
      </c>
      <c r="J12" s="7">
        <f>J10*(Допущения!$C$8*(1-Допущения!$C$10*8/24)+Допущения!$C$9/12*Допущения!$C$10*8/24)</f>
        <v/>
      </c>
      <c r="K12" s="7">
        <f>K10*(Допущения!$C$8*(1-Допущения!$C$10*9/24)+Допущения!$C$9/12*Допущения!$C$10*9/24)</f>
        <v/>
      </c>
      <c r="L12" s="7">
        <f>L10*(Допущения!$C$8*(1-Допущения!$C$10*10/24)+Допущения!$C$9/12*Допущения!$C$10*10/24)</f>
        <v/>
      </c>
      <c r="M12" s="7">
        <f>M10*(Допущения!$C$8*(1-Допущения!$C$10*11/24)+Допущения!$C$9/12*Допущения!$C$10*11/24)</f>
        <v/>
      </c>
      <c r="N12" s="7">
        <f>N10*(Допущения!$C$8*(1-Допущения!$C$10*12/24)+Допущения!$C$9/12*Допущения!$C$10*12/24)</f>
        <v/>
      </c>
      <c r="O12" s="7">
        <f>O10*(Допущения!$C$8*(1-Допущения!$C$10*13/24)+Допущения!$C$9/12*Допущения!$C$10*13/24)</f>
        <v/>
      </c>
      <c r="P12" s="7">
        <f>P10*(Допущения!$C$8*(1-Допущения!$C$10*14/24)+Допущения!$C$9/12*Допущения!$C$10*14/24)</f>
        <v/>
      </c>
      <c r="Q12" s="7">
        <f>Q10*(Допущения!$C$8*(1-Допущения!$C$10*15/24)+Допущения!$C$9/12*Допущения!$C$10*15/24)</f>
        <v/>
      </c>
      <c r="R12" s="7">
        <f>R10*(Допущения!$C$8*(1-Допущения!$C$10*16/24)+Допущения!$C$9/12*Допущения!$C$10*16/24)</f>
        <v/>
      </c>
      <c r="S12" s="7">
        <f>S10*(Допущения!$C$8*(1-Допущения!$C$10*17/24)+Допущения!$C$9/12*Допущения!$C$10*17/24)</f>
        <v/>
      </c>
      <c r="T12" s="7">
        <f>T10*(Допущения!$C$8*(1-Допущения!$C$10*18/24)+Допущения!$C$9/12*Допущения!$C$10*18/24)</f>
        <v/>
      </c>
      <c r="U12" s="7">
        <f>U10*(Допущения!$C$8*(1-Допущения!$C$10*19/24)+Допущения!$C$9/12*Допущения!$C$10*19/24)</f>
        <v/>
      </c>
      <c r="V12" s="7">
        <f>V10*(Допущения!$C$8*(1-Допущения!$C$10*20/24)+Допущения!$C$9/12*Допущения!$C$10*20/24)</f>
        <v/>
      </c>
      <c r="W12" s="7">
        <f>W10*(Допущения!$C$8*(1-Допущения!$C$10*21/24)+Допущения!$C$9/12*Допущения!$C$10*21/24)</f>
        <v/>
      </c>
      <c r="X12" s="7">
        <f>X10*(Допущения!$C$8*(1-Допущения!$C$10*22/24)+Допущения!$C$9/12*Допущения!$C$10*22/24)</f>
        <v/>
      </c>
      <c r="Y12" s="7">
        <f>Y10*(Допущения!$C$8*(1-Допущения!$C$10*23/24)+Допущения!$C$9/12*Допущения!$C$10*23/24)</f>
        <v/>
      </c>
      <c r="Z12" s="8" t="inlineStr">
        <is>
          <t>Годовая подписка признаётся равномерно (1/12 в месяц) — так честнее для P&amp;L. Деньгами она приходит сразу, это видно в строке ниже.</t>
        </is>
      </c>
    </row>
    <row r="13">
      <c r="A13" s="17" t="inlineStr">
        <is>
          <t>Поступило денег за месяц</t>
        </is>
      </c>
      <c r="B13" s="7">
        <f>B12+B9*Допущения!$C$10*0/24*(Допущения!$C$9-Допущения!$C$9/12)</f>
        <v/>
      </c>
      <c r="C13" s="7">
        <f>C12+C9*Допущения!$C$10*1/24*(Допущения!$C$9-Допущения!$C$9/12)</f>
        <v/>
      </c>
      <c r="D13" s="7">
        <f>D12+D9*Допущения!$C$10*2/24*(Допущения!$C$9-Допущения!$C$9/12)</f>
        <v/>
      </c>
      <c r="E13" s="7">
        <f>E12+E9*Допущения!$C$10*3/24*(Допущения!$C$9-Допущения!$C$9/12)</f>
        <v/>
      </c>
      <c r="F13" s="7">
        <f>F12+F9*Допущения!$C$10*4/24*(Допущения!$C$9-Допущения!$C$9/12)</f>
        <v/>
      </c>
      <c r="G13" s="7">
        <f>G12+G9*Допущения!$C$10*5/24*(Допущения!$C$9-Допущения!$C$9/12)</f>
        <v/>
      </c>
      <c r="H13" s="7">
        <f>H12+H9*Допущения!$C$10*6/24*(Допущения!$C$9-Допущения!$C$9/12)</f>
        <v/>
      </c>
      <c r="I13" s="7">
        <f>I12+I9*Допущения!$C$10*7/24*(Допущения!$C$9-Допущения!$C$9/12)</f>
        <v/>
      </c>
      <c r="J13" s="7">
        <f>J12+J9*Допущения!$C$10*8/24*(Допущения!$C$9-Допущения!$C$9/12)</f>
        <v/>
      </c>
      <c r="K13" s="7">
        <f>K12+K9*Допущения!$C$10*9/24*(Допущения!$C$9-Допущения!$C$9/12)</f>
        <v/>
      </c>
      <c r="L13" s="7">
        <f>L12+L9*Допущения!$C$10*10/24*(Допущения!$C$9-Допущения!$C$9/12)</f>
        <v/>
      </c>
      <c r="M13" s="7">
        <f>M12+M9*Допущения!$C$10*11/24*(Допущения!$C$9-Допущения!$C$9/12)</f>
        <v/>
      </c>
      <c r="N13" s="7">
        <f>N12+N9*Допущения!$C$10*12/24*(Допущения!$C$9-Допущения!$C$9/12)</f>
        <v/>
      </c>
      <c r="O13" s="7">
        <f>O12+O9*Допущения!$C$10*13/24*(Допущения!$C$9-Допущения!$C$9/12)</f>
        <v/>
      </c>
      <c r="P13" s="7">
        <f>P12+P9*Допущения!$C$10*14/24*(Допущения!$C$9-Допущения!$C$9/12)</f>
        <v/>
      </c>
      <c r="Q13" s="7">
        <f>Q12+Q9*Допущения!$C$10*15/24*(Допущения!$C$9-Допущения!$C$9/12)</f>
        <v/>
      </c>
      <c r="R13" s="7">
        <f>R12+R9*Допущения!$C$10*16/24*(Допущения!$C$9-Допущения!$C$9/12)</f>
        <v/>
      </c>
      <c r="S13" s="7">
        <f>S12+S9*Допущения!$C$10*17/24*(Допущения!$C$9-Допущения!$C$9/12)</f>
        <v/>
      </c>
      <c r="T13" s="7">
        <f>T12+T9*Допущения!$C$10*18/24*(Допущения!$C$9-Допущения!$C$9/12)</f>
        <v/>
      </c>
      <c r="U13" s="7">
        <f>U12+U9*Допущения!$C$10*19/24*(Допущения!$C$9-Допущения!$C$9/12)</f>
        <v/>
      </c>
      <c r="V13" s="7">
        <f>V12+V9*Допущения!$C$10*20/24*(Допущения!$C$9-Допущения!$C$9/12)</f>
        <v/>
      </c>
      <c r="W13" s="7">
        <f>W12+W9*Допущения!$C$10*21/24*(Допущения!$C$9-Допущения!$C$9/12)</f>
        <v/>
      </c>
      <c r="X13" s="7">
        <f>X12+X9*Допущения!$C$10*22/24*(Допущения!$C$9-Допущения!$C$9/12)</f>
        <v/>
      </c>
      <c r="Y13" s="7">
        <f>Y12+Y9*Допущения!$C$10*23/24*(Допущения!$C$9-Допущения!$C$9/12)</f>
        <v/>
      </c>
      <c r="Z13" s="8" t="inlineStr">
        <is>
          <t>Годовые подписчики платят за год вперёд: в месяц продажи приходит вся сумма.</t>
        </is>
      </c>
    </row>
    <row r="14">
      <c r="A14" s="3" t="inlineStr">
        <is>
          <t>Расходы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>
      <c r="A15" s="17" t="inlineStr">
        <is>
          <t>Хостинг Timeweb</t>
        </is>
      </c>
      <c r="B15" s="7">
        <f>Допущения!$C$23</f>
        <v/>
      </c>
      <c r="C15" s="7">
        <f>Допущения!$C$23</f>
        <v/>
      </c>
      <c r="D15" s="7">
        <f>Допущения!$C$23</f>
        <v/>
      </c>
      <c r="E15" s="7">
        <f>Допущения!$C$23</f>
        <v/>
      </c>
      <c r="F15" s="7">
        <f>Допущения!$C$23</f>
        <v/>
      </c>
      <c r="G15" s="7">
        <f>Допущения!$C$23</f>
        <v/>
      </c>
      <c r="H15" s="7">
        <f>Допущения!$C$23</f>
        <v/>
      </c>
      <c r="I15" s="7">
        <f>Допущения!$C$23</f>
        <v/>
      </c>
      <c r="J15" s="7">
        <f>Допущения!$C$23</f>
        <v/>
      </c>
      <c r="K15" s="7">
        <f>Допущения!$C$23</f>
        <v/>
      </c>
      <c r="L15" s="7">
        <f>Допущения!$C$23</f>
        <v/>
      </c>
      <c r="M15" s="7">
        <f>Допущения!$C$23</f>
        <v/>
      </c>
      <c r="N15" s="7">
        <f>Допущения!$C$23</f>
        <v/>
      </c>
      <c r="O15" s="7">
        <f>Допущения!$C$23</f>
        <v/>
      </c>
      <c r="P15" s="7">
        <f>Допущения!$C$23</f>
        <v/>
      </c>
      <c r="Q15" s="7">
        <f>Допущения!$C$23</f>
        <v/>
      </c>
      <c r="R15" s="7">
        <f>Допущения!$C$23</f>
        <v/>
      </c>
      <c r="S15" s="7">
        <f>Допущения!$C$23</f>
        <v/>
      </c>
      <c r="T15" s="7">
        <f>Допущения!$C$23</f>
        <v/>
      </c>
      <c r="U15" s="7">
        <f>Допущения!$C$23</f>
        <v/>
      </c>
      <c r="V15" s="7">
        <f>Допущения!$C$23</f>
        <v/>
      </c>
      <c r="W15" s="7">
        <f>Допущения!$C$23</f>
        <v/>
      </c>
      <c r="X15" s="7">
        <f>Допущения!$C$23</f>
        <v/>
      </c>
      <c r="Y15" s="7">
        <f>Допущения!$C$23</f>
        <v/>
      </c>
    </row>
    <row r="16">
      <c r="A16" s="17" t="inlineStr">
        <is>
          <t>Yandex.Cloud</t>
        </is>
      </c>
      <c r="B16" s="7">
        <f>Допущения!$C$24+B10*Допущения!$C$28</f>
        <v/>
      </c>
      <c r="C16" s="7">
        <f>Допущения!$C$24+C10*Допущения!$C$28</f>
        <v/>
      </c>
      <c r="D16" s="7">
        <f>Допущения!$C$24+D10*Допущения!$C$28</f>
        <v/>
      </c>
      <c r="E16" s="7">
        <f>Допущения!$C$24+E10*Допущения!$C$28</f>
        <v/>
      </c>
      <c r="F16" s="7">
        <f>Допущения!$C$24+F10*Допущения!$C$28</f>
        <v/>
      </c>
      <c r="G16" s="7">
        <f>Допущения!$C$24+G10*Допущения!$C$28</f>
        <v/>
      </c>
      <c r="H16" s="7">
        <f>Допущения!$C$24+H10*Допущения!$C$28</f>
        <v/>
      </c>
      <c r="I16" s="7">
        <f>Допущения!$C$24+I10*Допущения!$C$28</f>
        <v/>
      </c>
      <c r="J16" s="7">
        <f>Допущения!$C$24+J10*Допущения!$C$28</f>
        <v/>
      </c>
      <c r="K16" s="7">
        <f>Допущения!$C$24+K10*Допущения!$C$28</f>
        <v/>
      </c>
      <c r="L16" s="7">
        <f>Допущения!$C$24+L10*Допущения!$C$28</f>
        <v/>
      </c>
      <c r="M16" s="7">
        <f>Допущения!$C$24+M10*Допущения!$C$28</f>
        <v/>
      </c>
      <c r="N16" s="7">
        <f>Допущения!$C$24+N10*Допущения!$C$28</f>
        <v/>
      </c>
      <c r="O16" s="7">
        <f>Допущения!$C$24+O10*Допущения!$C$28</f>
        <v/>
      </c>
      <c r="P16" s="7">
        <f>Допущения!$C$24+P10*Допущения!$C$28</f>
        <v/>
      </c>
      <c r="Q16" s="7">
        <f>Допущения!$C$24+Q10*Допущения!$C$28</f>
        <v/>
      </c>
      <c r="R16" s="7">
        <f>Допущения!$C$24+R10*Допущения!$C$28</f>
        <v/>
      </c>
      <c r="S16" s="7">
        <f>Допущения!$C$24+S10*Допущения!$C$28</f>
        <v/>
      </c>
      <c r="T16" s="7">
        <f>Допущения!$C$24+T10*Допущения!$C$28</f>
        <v/>
      </c>
      <c r="U16" s="7">
        <f>Допущения!$C$24+U10*Допущения!$C$28</f>
        <v/>
      </c>
      <c r="V16" s="7">
        <f>Допущения!$C$24+V10*Допущения!$C$28</f>
        <v/>
      </c>
      <c r="W16" s="7">
        <f>Допущения!$C$24+W10*Допущения!$C$28</f>
        <v/>
      </c>
      <c r="X16" s="7">
        <f>Допущения!$C$24+X10*Допущения!$C$28</f>
        <v/>
      </c>
      <c r="Y16" s="7">
        <f>Допущения!$C$24+Y10*Допущения!$C$28</f>
        <v/>
      </c>
      <c r="Z16" s="8" t="inlineStr">
        <is>
          <t>Счёт облака плюс переменная часть на каждого платящего подписчика.</t>
        </is>
      </c>
    </row>
    <row r="17">
      <c r="A17" s="17" t="inlineStr">
        <is>
          <t>Claude (разработка)</t>
        </is>
      </c>
      <c r="B17" s="7">
        <f>Допущения!$C$25</f>
        <v/>
      </c>
      <c r="C17" s="7">
        <f>Допущения!$C$25</f>
        <v/>
      </c>
      <c r="D17" s="7">
        <f>Допущения!$C$25</f>
        <v/>
      </c>
      <c r="E17" s="7">
        <f>Допущения!$C$25</f>
        <v/>
      </c>
      <c r="F17" s="7">
        <f>Допущения!$C$25</f>
        <v/>
      </c>
      <c r="G17" s="7">
        <f>Допущения!$C$25</f>
        <v/>
      </c>
      <c r="H17" s="7">
        <f>Допущения!$C$25</f>
        <v/>
      </c>
      <c r="I17" s="7">
        <f>Допущения!$C$25</f>
        <v/>
      </c>
      <c r="J17" s="7">
        <f>Допущения!$C$25</f>
        <v/>
      </c>
      <c r="K17" s="7">
        <f>Допущения!$C$25</f>
        <v/>
      </c>
      <c r="L17" s="7">
        <f>Допущения!$C$25</f>
        <v/>
      </c>
      <c r="M17" s="7">
        <f>Допущения!$C$25</f>
        <v/>
      </c>
      <c r="N17" s="7">
        <f>Допущения!$C$25</f>
        <v/>
      </c>
      <c r="O17" s="7">
        <f>Допущения!$C$25</f>
        <v/>
      </c>
      <c r="P17" s="7">
        <f>Допущения!$C$25</f>
        <v/>
      </c>
      <c r="Q17" s="7">
        <f>Допущения!$C$25</f>
        <v/>
      </c>
      <c r="R17" s="7">
        <f>Допущения!$C$25</f>
        <v/>
      </c>
      <c r="S17" s="7">
        <f>Допущения!$C$25</f>
        <v/>
      </c>
      <c r="T17" s="7">
        <f>Допущения!$C$25</f>
        <v/>
      </c>
      <c r="U17" s="7">
        <f>Допущения!$C$25</f>
        <v/>
      </c>
      <c r="V17" s="7">
        <f>Допущения!$C$25</f>
        <v/>
      </c>
      <c r="W17" s="7">
        <f>Допущения!$C$25</f>
        <v/>
      </c>
      <c r="X17" s="7">
        <f>Допущения!$C$25</f>
        <v/>
      </c>
      <c r="Y17" s="7">
        <f>Допущения!$C$25</f>
        <v/>
      </c>
    </row>
    <row r="18">
      <c r="A18" s="17" t="inlineStr">
        <is>
          <t>API-ФНС</t>
        </is>
      </c>
      <c r="B18" s="7">
        <f>Допущения!$C$30</f>
        <v/>
      </c>
      <c r="C18" s="7">
        <f>Допущения!$C$30</f>
        <v/>
      </c>
      <c r="D18" s="7">
        <f>Допущения!$C$30</f>
        <v/>
      </c>
      <c r="E18" s="7">
        <f>Допущения!$C$30</f>
        <v/>
      </c>
      <c r="F18" s="7">
        <f>Допущения!$C$30</f>
        <v/>
      </c>
      <c r="G18" s="7">
        <f>Допущения!$C$30</f>
        <v/>
      </c>
      <c r="H18" s="7">
        <f>Допущения!$C$30</f>
        <v/>
      </c>
      <c r="I18" s="7">
        <f>Допущения!$C$30</f>
        <v/>
      </c>
      <c r="J18" s="7">
        <f>Допущения!$C$30</f>
        <v/>
      </c>
      <c r="K18" s="7">
        <f>Допущения!$C$30</f>
        <v/>
      </c>
      <c r="L18" s="7">
        <f>Допущения!$C$30</f>
        <v/>
      </c>
      <c r="M18" s="7">
        <f>Допущения!$C$30</f>
        <v/>
      </c>
      <c r="N18" s="7">
        <f>Допущения!$C$30</f>
        <v/>
      </c>
      <c r="O18" s="7">
        <f>Допущения!$C$30</f>
        <v/>
      </c>
      <c r="P18" s="7">
        <f>Допущения!$C$30</f>
        <v/>
      </c>
      <c r="Q18" s="7">
        <f>Допущения!$C$30</f>
        <v/>
      </c>
      <c r="R18" s="7">
        <f>Допущения!$C$30</f>
        <v/>
      </c>
      <c r="S18" s="7">
        <f>Допущения!$C$30</f>
        <v/>
      </c>
      <c r="T18" s="7">
        <f>Допущения!$C$30</f>
        <v/>
      </c>
      <c r="U18" s="7">
        <f>Допущения!$C$30</f>
        <v/>
      </c>
      <c r="V18" s="7">
        <f>Допущения!$C$30</f>
        <v/>
      </c>
      <c r="W18" s="7">
        <f>Допущения!$C$30</f>
        <v/>
      </c>
      <c r="X18" s="7">
        <f>Допущения!$C$30</f>
        <v/>
      </c>
      <c r="Y18" s="7">
        <f>Допущения!$C$30</f>
        <v/>
      </c>
    </row>
    <row r="19">
      <c r="A19" s="17" t="inlineStr">
        <is>
          <t>Онлайн-касса и чеки (54-ФЗ)</t>
        </is>
      </c>
      <c r="B19" s="7">
        <f>Допущения!$C$31</f>
        <v/>
      </c>
      <c r="C19" s="7">
        <f>Допущения!$C$31</f>
        <v/>
      </c>
      <c r="D19" s="7">
        <f>Допущения!$C$31</f>
        <v/>
      </c>
      <c r="E19" s="7">
        <f>Допущения!$C$31</f>
        <v/>
      </c>
      <c r="F19" s="7">
        <f>Допущения!$C$31</f>
        <v/>
      </c>
      <c r="G19" s="7">
        <f>Допущения!$C$31</f>
        <v/>
      </c>
      <c r="H19" s="7">
        <f>Допущения!$C$31</f>
        <v/>
      </c>
      <c r="I19" s="7">
        <f>Допущения!$C$31</f>
        <v/>
      </c>
      <c r="J19" s="7">
        <f>Допущения!$C$31</f>
        <v/>
      </c>
      <c r="K19" s="7">
        <f>Допущения!$C$31</f>
        <v/>
      </c>
      <c r="L19" s="7">
        <f>Допущения!$C$31</f>
        <v/>
      </c>
      <c r="M19" s="7">
        <f>Допущения!$C$31</f>
        <v/>
      </c>
      <c r="N19" s="7">
        <f>Допущения!$C$31</f>
        <v/>
      </c>
      <c r="O19" s="7">
        <f>Допущения!$C$31</f>
        <v/>
      </c>
      <c r="P19" s="7">
        <f>Допущения!$C$31</f>
        <v/>
      </c>
      <c r="Q19" s="7">
        <f>Допущения!$C$31</f>
        <v/>
      </c>
      <c r="R19" s="7">
        <f>Допущения!$C$31</f>
        <v/>
      </c>
      <c r="S19" s="7">
        <f>Допущения!$C$31</f>
        <v/>
      </c>
      <c r="T19" s="7">
        <f>Допущения!$C$31</f>
        <v/>
      </c>
      <c r="U19" s="7">
        <f>Допущения!$C$31</f>
        <v/>
      </c>
      <c r="V19" s="7">
        <f>Допущения!$C$31</f>
        <v/>
      </c>
      <c r="W19" s="7">
        <f>Допущения!$C$31</f>
        <v/>
      </c>
      <c r="X19" s="7">
        <f>Допущения!$C$31</f>
        <v/>
      </c>
      <c r="Y19" s="7">
        <f>Допущения!$C$31</f>
        <v/>
      </c>
      <c r="Z19" s="8" t="inlineStr">
        <is>
          <t>Статья, которой не было бы при продаже компаниям по счёту.</t>
        </is>
      </c>
    </row>
    <row r="20">
      <c r="A20" s="17" t="inlineStr">
        <is>
          <t>Бухгалтерия</t>
        </is>
      </c>
      <c r="B20" s="7">
        <f>Допущения!$C$32</f>
        <v/>
      </c>
      <c r="C20" s="7">
        <f>Допущения!$C$32</f>
        <v/>
      </c>
      <c r="D20" s="7">
        <f>Допущения!$C$32</f>
        <v/>
      </c>
      <c r="E20" s="7">
        <f>Допущения!$C$32</f>
        <v/>
      </c>
      <c r="F20" s="7">
        <f>Допущения!$C$32</f>
        <v/>
      </c>
      <c r="G20" s="7">
        <f>Допущения!$C$32</f>
        <v/>
      </c>
      <c r="H20" s="7">
        <f>Допущения!$C$32</f>
        <v/>
      </c>
      <c r="I20" s="7">
        <f>Допущения!$C$32</f>
        <v/>
      </c>
      <c r="J20" s="7">
        <f>Допущения!$C$32</f>
        <v/>
      </c>
      <c r="K20" s="7">
        <f>Допущения!$C$32</f>
        <v/>
      </c>
      <c r="L20" s="7">
        <f>Допущения!$C$32</f>
        <v/>
      </c>
      <c r="M20" s="7">
        <f>Допущения!$C$32</f>
        <v/>
      </c>
      <c r="N20" s="7">
        <f>Допущения!$C$32</f>
        <v/>
      </c>
      <c r="O20" s="7">
        <f>Допущения!$C$32</f>
        <v/>
      </c>
      <c r="P20" s="7">
        <f>Допущения!$C$32</f>
        <v/>
      </c>
      <c r="Q20" s="7">
        <f>Допущения!$C$32</f>
        <v/>
      </c>
      <c r="R20" s="7">
        <f>Допущения!$C$32</f>
        <v/>
      </c>
      <c r="S20" s="7">
        <f>Допущения!$C$32</f>
        <v/>
      </c>
      <c r="T20" s="7">
        <f>Допущения!$C$32</f>
        <v/>
      </c>
      <c r="U20" s="7">
        <f>Допущения!$C$32</f>
        <v/>
      </c>
      <c r="V20" s="7">
        <f>Допущения!$C$32</f>
        <v/>
      </c>
      <c r="W20" s="7">
        <f>Допущения!$C$32</f>
        <v/>
      </c>
      <c r="X20" s="7">
        <f>Допущения!$C$32</f>
        <v/>
      </c>
      <c r="Y20" s="7">
        <f>Допущения!$C$32</f>
        <v/>
      </c>
    </row>
    <row r="21">
      <c r="A21" s="17" t="inlineStr">
        <is>
          <t>Регистратор Р.О.С.Т. (АО)</t>
        </is>
      </c>
      <c r="B21" s="7">
        <f>Допущения!$C$26</f>
        <v/>
      </c>
      <c r="C21" s="7">
        <f>Допущения!$C$26</f>
        <v/>
      </c>
      <c r="D21" s="7">
        <f>Допущения!$C$26</f>
        <v/>
      </c>
      <c r="E21" s="7">
        <f>Допущения!$C$26</f>
        <v/>
      </c>
      <c r="F21" s="7">
        <f>Допущения!$C$26</f>
        <v/>
      </c>
      <c r="G21" s="7">
        <f>Допущения!$C$26</f>
        <v/>
      </c>
      <c r="H21" s="7">
        <f>Допущения!$C$26</f>
        <v/>
      </c>
      <c r="I21" s="7">
        <f>Допущения!$C$26</f>
        <v/>
      </c>
      <c r="J21" s="7">
        <f>Допущения!$C$26</f>
        <v/>
      </c>
      <c r="K21" s="7">
        <f>Допущения!$C$26</f>
        <v/>
      </c>
      <c r="L21" s="7">
        <f>Допущения!$C$26</f>
        <v/>
      </c>
      <c r="M21" s="7">
        <f>Допущения!$C$26</f>
        <v/>
      </c>
      <c r="N21" s="7">
        <f>Допущения!$C$26</f>
        <v/>
      </c>
      <c r="O21" s="7">
        <f>Допущения!$C$26</f>
        <v/>
      </c>
      <c r="P21" s="7">
        <f>Допущения!$C$26</f>
        <v/>
      </c>
      <c r="Q21" s="7">
        <f>Допущения!$C$26</f>
        <v/>
      </c>
      <c r="R21" s="7">
        <f>Допущения!$C$26</f>
        <v/>
      </c>
      <c r="S21" s="7">
        <f>Допущения!$C$26</f>
        <v/>
      </c>
      <c r="T21" s="7">
        <f>Допущения!$C$26</f>
        <v/>
      </c>
      <c r="U21" s="7">
        <f>Допущения!$C$26</f>
        <v/>
      </c>
      <c r="V21" s="7">
        <f>Допущения!$C$26</f>
        <v/>
      </c>
      <c r="W21" s="7">
        <f>Допущения!$C$26</f>
        <v/>
      </c>
      <c r="X21" s="7">
        <f>Допущения!$C$26</f>
        <v/>
      </c>
      <c r="Y21" s="7">
        <f>Допущения!$C$26</f>
        <v/>
      </c>
    </row>
    <row r="22">
      <c r="A22" s="17" t="inlineStr">
        <is>
          <t>Аренда офиса</t>
        </is>
      </c>
      <c r="B22" s="7">
        <f>Допущения!$C$27</f>
        <v/>
      </c>
      <c r="C22" s="7">
        <f>Допущения!$C$27</f>
        <v/>
      </c>
      <c r="D22" s="7">
        <f>Допущения!$C$27</f>
        <v/>
      </c>
      <c r="E22" s="7">
        <f>Допущения!$C$27</f>
        <v/>
      </c>
      <c r="F22" s="7">
        <f>Допущения!$C$27</f>
        <v/>
      </c>
      <c r="G22" s="7">
        <f>Допущения!$C$27</f>
        <v/>
      </c>
      <c r="H22" s="7">
        <f>Допущения!$C$27</f>
        <v/>
      </c>
      <c r="I22" s="7">
        <f>Допущения!$C$27</f>
        <v/>
      </c>
      <c r="J22" s="7">
        <f>Допущения!$C$27</f>
        <v/>
      </c>
      <c r="K22" s="7">
        <f>Допущения!$C$27</f>
        <v/>
      </c>
      <c r="L22" s="7">
        <f>Допущения!$C$27</f>
        <v/>
      </c>
      <c r="M22" s="7">
        <f>Допущения!$C$27</f>
        <v/>
      </c>
      <c r="N22" s="7">
        <f>Допущения!$C$27</f>
        <v/>
      </c>
      <c r="O22" s="7">
        <f>Допущения!$C$27</f>
        <v/>
      </c>
      <c r="P22" s="7">
        <f>Допущения!$C$27</f>
        <v/>
      </c>
      <c r="Q22" s="7">
        <f>Допущения!$C$27</f>
        <v/>
      </c>
      <c r="R22" s="7">
        <f>Допущения!$C$27</f>
        <v/>
      </c>
      <c r="S22" s="7">
        <f>Допущения!$C$27</f>
        <v/>
      </c>
      <c r="T22" s="7">
        <f>Допущения!$C$27</f>
        <v/>
      </c>
      <c r="U22" s="7">
        <f>Допущения!$C$27</f>
        <v/>
      </c>
      <c r="V22" s="7">
        <f>Допущения!$C$27</f>
        <v/>
      </c>
      <c r="W22" s="7">
        <f>Допущения!$C$27</f>
        <v/>
      </c>
      <c r="X22" s="7">
        <f>Допущения!$C$27</f>
        <v/>
      </c>
      <c r="Y22" s="7">
        <f>Допущения!$C$27</f>
        <v/>
      </c>
    </row>
    <row r="23">
      <c r="A23" s="17" t="inlineStr">
        <is>
          <t>Юрист и товарный знак</t>
        </is>
      </c>
      <c r="B23" s="7">
        <f>Допущения!$C$33</f>
        <v/>
      </c>
      <c r="C23" s="7">
        <f>Допущения!$C$33</f>
        <v/>
      </c>
      <c r="D23" s="7">
        <f>Допущения!$C$33</f>
        <v/>
      </c>
      <c r="E23" s="7">
        <f>Допущения!$C$33</f>
        <v/>
      </c>
      <c r="F23" s="7">
        <f>Допущения!$C$33</f>
        <v/>
      </c>
      <c r="G23" s="7">
        <f>Допущения!$C$33</f>
        <v/>
      </c>
      <c r="H23" s="7">
        <f>Допущения!$C$33</f>
        <v/>
      </c>
      <c r="I23" s="7">
        <f>Допущения!$C$33</f>
        <v/>
      </c>
      <c r="J23" s="7">
        <f>Допущения!$C$33</f>
        <v/>
      </c>
      <c r="K23" s="7">
        <f>Допущения!$C$33</f>
        <v/>
      </c>
      <c r="L23" s="7">
        <f>Допущения!$C$33</f>
        <v/>
      </c>
      <c r="M23" s="7">
        <f>Допущения!$C$33</f>
        <v/>
      </c>
      <c r="N23" s="7">
        <f>Допущения!$C$33</f>
        <v/>
      </c>
      <c r="O23" s="7">
        <f>Допущения!$C$33</f>
        <v/>
      </c>
      <c r="P23" s="7">
        <f>Допущения!$C$33</f>
        <v/>
      </c>
      <c r="Q23" s="7">
        <f>Допущения!$C$33</f>
        <v/>
      </c>
      <c r="R23" s="7">
        <f>Допущения!$C$33</f>
        <v/>
      </c>
      <c r="S23" s="7">
        <f>Допущения!$C$33</f>
        <v/>
      </c>
      <c r="T23" s="7">
        <f>Допущения!$C$33</f>
        <v/>
      </c>
      <c r="U23" s="7">
        <f>Допущения!$C$33</f>
        <v/>
      </c>
      <c r="V23" s="7">
        <f>Допущения!$C$33</f>
        <v/>
      </c>
      <c r="W23" s="7">
        <f>Допущения!$C$33</f>
        <v/>
      </c>
      <c r="X23" s="7">
        <f>Допущения!$C$33</f>
        <v/>
      </c>
      <c r="Y23" s="7">
        <f>Допущения!$C$33</f>
        <v/>
      </c>
    </row>
    <row r="24">
      <c r="A24" s="17" t="inlineStr">
        <is>
          <t>Платное продвижение</t>
        </is>
      </c>
      <c r="B24" s="7">
        <f>Допущения!$C$34</f>
        <v/>
      </c>
      <c r="C24" s="7">
        <f>Допущения!$C$34</f>
        <v/>
      </c>
      <c r="D24" s="7">
        <f>Допущения!$C$34</f>
        <v/>
      </c>
      <c r="E24" s="7">
        <f>Допущения!$C$34</f>
        <v/>
      </c>
      <c r="F24" s="7">
        <f>Допущения!$C$34</f>
        <v/>
      </c>
      <c r="G24" s="7">
        <f>Допущения!$C$34</f>
        <v/>
      </c>
      <c r="H24" s="7">
        <f>Допущения!$C$34</f>
        <v/>
      </c>
      <c r="I24" s="7">
        <f>Допущения!$C$34</f>
        <v/>
      </c>
      <c r="J24" s="7">
        <f>Допущения!$C$34</f>
        <v/>
      </c>
      <c r="K24" s="7">
        <f>Допущения!$C$34</f>
        <v/>
      </c>
      <c r="L24" s="7">
        <f>Допущения!$C$34</f>
        <v/>
      </c>
      <c r="M24" s="7">
        <f>Допущения!$C$34</f>
        <v/>
      </c>
      <c r="N24" s="7">
        <f>Допущения!$C$34</f>
        <v/>
      </c>
      <c r="O24" s="7">
        <f>Допущения!$C$34</f>
        <v/>
      </c>
      <c r="P24" s="7">
        <f>Допущения!$C$34</f>
        <v/>
      </c>
      <c r="Q24" s="7">
        <f>Допущения!$C$34</f>
        <v/>
      </c>
      <c r="R24" s="7">
        <f>Допущения!$C$34</f>
        <v/>
      </c>
      <c r="S24" s="7">
        <f>Допущения!$C$34</f>
        <v/>
      </c>
      <c r="T24" s="7">
        <f>Допущения!$C$34</f>
        <v/>
      </c>
      <c r="U24" s="7">
        <f>Допущения!$C$34</f>
        <v/>
      </c>
      <c r="V24" s="7">
        <f>Допущения!$C$34</f>
        <v/>
      </c>
      <c r="W24" s="7">
        <f>Допущения!$C$34</f>
        <v/>
      </c>
      <c r="X24" s="7">
        <f>Допущения!$C$34</f>
        <v/>
      </c>
      <c r="Y24" s="7">
        <f>Допущения!$C$34</f>
        <v/>
      </c>
    </row>
    <row r="25">
      <c r="A25" s="17" t="inlineStr">
        <is>
          <t>Прочее</t>
        </is>
      </c>
      <c r="B25" s="7">
        <f>Допущения!$C$35</f>
        <v/>
      </c>
      <c r="C25" s="7">
        <f>Допущения!$C$35</f>
        <v/>
      </c>
      <c r="D25" s="7">
        <f>Допущения!$C$35</f>
        <v/>
      </c>
      <c r="E25" s="7">
        <f>Допущения!$C$35</f>
        <v/>
      </c>
      <c r="F25" s="7">
        <f>Допущения!$C$35</f>
        <v/>
      </c>
      <c r="G25" s="7">
        <f>Допущения!$C$35</f>
        <v/>
      </c>
      <c r="H25" s="7">
        <f>Допущения!$C$35</f>
        <v/>
      </c>
      <c r="I25" s="7">
        <f>Допущения!$C$35</f>
        <v/>
      </c>
      <c r="J25" s="7">
        <f>Допущения!$C$35</f>
        <v/>
      </c>
      <c r="K25" s="7">
        <f>Допущения!$C$35</f>
        <v/>
      </c>
      <c r="L25" s="7">
        <f>Допущения!$C$35</f>
        <v/>
      </c>
      <c r="M25" s="7">
        <f>Допущения!$C$35</f>
        <v/>
      </c>
      <c r="N25" s="7">
        <f>Допущения!$C$35</f>
        <v/>
      </c>
      <c r="O25" s="7">
        <f>Допущения!$C$35</f>
        <v/>
      </c>
      <c r="P25" s="7">
        <f>Допущения!$C$35</f>
        <v/>
      </c>
      <c r="Q25" s="7">
        <f>Допущения!$C$35</f>
        <v/>
      </c>
      <c r="R25" s="7">
        <f>Допущения!$C$35</f>
        <v/>
      </c>
      <c r="S25" s="7">
        <f>Допущения!$C$35</f>
        <v/>
      </c>
      <c r="T25" s="7">
        <f>Допущения!$C$35</f>
        <v/>
      </c>
      <c r="U25" s="7">
        <f>Допущения!$C$35</f>
        <v/>
      </c>
      <c r="V25" s="7">
        <f>Допущения!$C$35</f>
        <v/>
      </c>
      <c r="W25" s="7">
        <f>Допущения!$C$35</f>
        <v/>
      </c>
      <c r="X25" s="7">
        <f>Допущения!$C$35</f>
        <v/>
      </c>
      <c r="Y25" s="7">
        <f>Допущения!$C$35</f>
        <v/>
      </c>
    </row>
    <row r="26">
      <c r="A26" s="17" t="inlineStr">
        <is>
          <t>Комиссия за приём платежей</t>
        </is>
      </c>
      <c r="B26" s="7">
        <f>B13*Допущения!$C$50</f>
        <v/>
      </c>
      <c r="C26" s="7">
        <f>C13*Допущения!$C$50</f>
        <v/>
      </c>
      <c r="D26" s="7">
        <f>D13*Допущения!$C$50</f>
        <v/>
      </c>
      <c r="E26" s="7">
        <f>E13*Допущения!$C$50</f>
        <v/>
      </c>
      <c r="F26" s="7">
        <f>F13*Допущения!$C$50</f>
        <v/>
      </c>
      <c r="G26" s="7">
        <f>G13*Допущения!$C$50</f>
        <v/>
      </c>
      <c r="H26" s="7">
        <f>H13*Допущения!$C$50</f>
        <v/>
      </c>
      <c r="I26" s="7">
        <f>I13*Допущения!$C$50</f>
        <v/>
      </c>
      <c r="J26" s="7">
        <f>J13*Допущения!$C$50</f>
        <v/>
      </c>
      <c r="K26" s="7">
        <f>K13*Допущения!$C$50</f>
        <v/>
      </c>
      <c r="L26" s="7">
        <f>L13*Допущения!$C$50</f>
        <v/>
      </c>
      <c r="M26" s="7">
        <f>M13*Допущения!$C$50</f>
        <v/>
      </c>
      <c r="N26" s="7">
        <f>N13*Допущения!$C$50</f>
        <v/>
      </c>
      <c r="O26" s="7">
        <f>O13*Допущения!$C$50</f>
        <v/>
      </c>
      <c r="P26" s="7">
        <f>P13*Допущения!$C$50</f>
        <v/>
      </c>
      <c r="Q26" s="7">
        <f>Q13*Допущения!$C$50</f>
        <v/>
      </c>
      <c r="R26" s="7">
        <f>R13*Допущения!$C$50</f>
        <v/>
      </c>
      <c r="S26" s="7">
        <f>S13*Допущения!$C$50</f>
        <v/>
      </c>
      <c r="T26" s="7">
        <f>T13*Допущения!$C$50</f>
        <v/>
      </c>
      <c r="U26" s="7">
        <f>U13*Допущения!$C$50</f>
        <v/>
      </c>
      <c r="V26" s="7">
        <f>V13*Допущения!$C$50</f>
        <v/>
      </c>
      <c r="W26" s="7">
        <f>W13*Допущения!$C$50</f>
        <v/>
      </c>
      <c r="X26" s="7">
        <f>X13*Допущения!$C$50</f>
        <v/>
      </c>
      <c r="Y26" s="7">
        <f>Y13*Допущения!$C$50</f>
        <v/>
      </c>
    </row>
    <row r="27">
      <c r="A27" s="17" t="inlineStr">
        <is>
          <t>Возвраты</t>
        </is>
      </c>
      <c r="B27" s="7">
        <f>B12*Допущения!$C$13</f>
        <v/>
      </c>
      <c r="C27" s="7">
        <f>C12*Допущения!$C$13</f>
        <v/>
      </c>
      <c r="D27" s="7">
        <f>D12*Допущения!$C$13</f>
        <v/>
      </c>
      <c r="E27" s="7">
        <f>E12*Допущения!$C$13</f>
        <v/>
      </c>
      <c r="F27" s="7">
        <f>F12*Допущения!$C$13</f>
        <v/>
      </c>
      <c r="G27" s="7">
        <f>G12*Допущения!$C$13</f>
        <v/>
      </c>
      <c r="H27" s="7">
        <f>H12*Допущения!$C$13</f>
        <v/>
      </c>
      <c r="I27" s="7">
        <f>I12*Допущения!$C$13</f>
        <v/>
      </c>
      <c r="J27" s="7">
        <f>J12*Допущения!$C$13</f>
        <v/>
      </c>
      <c r="K27" s="7">
        <f>K12*Допущения!$C$13</f>
        <v/>
      </c>
      <c r="L27" s="7">
        <f>L12*Допущения!$C$13</f>
        <v/>
      </c>
      <c r="M27" s="7">
        <f>M12*Допущения!$C$13</f>
        <v/>
      </c>
      <c r="N27" s="7">
        <f>N12*Допущения!$C$13</f>
        <v/>
      </c>
      <c r="O27" s="7">
        <f>O12*Допущения!$C$13</f>
        <v/>
      </c>
      <c r="P27" s="7">
        <f>P12*Допущения!$C$13</f>
        <v/>
      </c>
      <c r="Q27" s="7">
        <f>Q12*Допущения!$C$13</f>
        <v/>
      </c>
      <c r="R27" s="7">
        <f>R12*Допущения!$C$13</f>
        <v/>
      </c>
      <c r="S27" s="7">
        <f>S12*Допущения!$C$13</f>
        <v/>
      </c>
      <c r="T27" s="7">
        <f>T12*Допущения!$C$13</f>
        <v/>
      </c>
      <c r="U27" s="7">
        <f>U12*Допущения!$C$13</f>
        <v/>
      </c>
      <c r="V27" s="7">
        <f>V12*Допущения!$C$13</f>
        <v/>
      </c>
      <c r="W27" s="7">
        <f>W12*Допущения!$C$13</f>
        <v/>
      </c>
      <c r="X27" s="7">
        <f>X12*Допущения!$C$13</f>
        <v/>
      </c>
      <c r="Y27" s="7">
        <f>Y12*Допущения!$C$13</f>
        <v/>
      </c>
      <c r="Z27" s="8" t="inlineStr">
        <is>
          <t>Право физлица отказаться от неиспользованного периода.</t>
        </is>
      </c>
    </row>
    <row r="28">
      <c r="A28" s="17" t="inlineStr">
        <is>
          <t>Зарплата гендиректора</t>
        </is>
      </c>
      <c r="B28" s="7">
        <f>Допущения!$C$37</f>
        <v/>
      </c>
      <c r="C28" s="7">
        <f>Допущения!$C$37</f>
        <v/>
      </c>
      <c r="D28" s="7">
        <f>Допущения!$C$37</f>
        <v/>
      </c>
      <c r="E28" s="7">
        <f>Допущения!$C$37</f>
        <v/>
      </c>
      <c r="F28" s="7">
        <f>Допущения!$C$37</f>
        <v/>
      </c>
      <c r="G28" s="7">
        <f>Допущения!$C$37</f>
        <v/>
      </c>
      <c r="H28" s="7">
        <f>Допущения!$C$37</f>
        <v/>
      </c>
      <c r="I28" s="7">
        <f>Допущения!$C$37</f>
        <v/>
      </c>
      <c r="J28" s="7">
        <f>Допущения!$C$37</f>
        <v/>
      </c>
      <c r="K28" s="7">
        <f>Допущения!$C$37</f>
        <v/>
      </c>
      <c r="L28" s="7">
        <f>Допущения!$C$37</f>
        <v/>
      </c>
      <c r="M28" s="7">
        <f>Допущения!$C$37</f>
        <v/>
      </c>
      <c r="N28" s="7">
        <f>Допущения!$C$37</f>
        <v/>
      </c>
      <c r="O28" s="7">
        <f>Допущения!$C$37</f>
        <v/>
      </c>
      <c r="P28" s="7">
        <f>Допущения!$C$37</f>
        <v/>
      </c>
      <c r="Q28" s="7">
        <f>Допущения!$C$37</f>
        <v/>
      </c>
      <c r="R28" s="7">
        <f>Допущения!$C$37</f>
        <v/>
      </c>
      <c r="S28" s="7">
        <f>Допущения!$C$37</f>
        <v/>
      </c>
      <c r="T28" s="7">
        <f>Допущения!$C$37</f>
        <v/>
      </c>
      <c r="U28" s="7">
        <f>Допущения!$C$37</f>
        <v/>
      </c>
      <c r="V28" s="7">
        <f>Допущения!$C$37</f>
        <v/>
      </c>
      <c r="W28" s="7">
        <f>Допущения!$C$37</f>
        <v/>
      </c>
      <c r="X28" s="7">
        <f>Допущения!$C$37</f>
        <v/>
      </c>
      <c r="Y28" s="7">
        <f>Допущения!$C$37</f>
        <v/>
      </c>
    </row>
    <row r="29">
      <c r="A29" s="17" t="inlineStr">
        <is>
          <t>Команда на подряде</t>
        </is>
      </c>
      <c r="B29" s="7">
        <f>Допущения!$C$38</f>
        <v/>
      </c>
      <c r="C29" s="7">
        <f>Допущения!$C$38</f>
        <v/>
      </c>
      <c r="D29" s="7">
        <f>Допущения!$C$38</f>
        <v/>
      </c>
      <c r="E29" s="7">
        <f>Допущения!$C$38</f>
        <v/>
      </c>
      <c r="F29" s="7">
        <f>Допущения!$C$38</f>
        <v/>
      </c>
      <c r="G29" s="7">
        <f>Допущения!$C$38</f>
        <v/>
      </c>
      <c r="H29" s="7">
        <f>Допущения!$C$38</f>
        <v/>
      </c>
      <c r="I29" s="7">
        <f>Допущения!$C$38</f>
        <v/>
      </c>
      <c r="J29" s="7">
        <f>Допущения!$C$38</f>
        <v/>
      </c>
      <c r="K29" s="7">
        <f>Допущения!$C$38</f>
        <v/>
      </c>
      <c r="L29" s="7">
        <f>Допущения!$C$38</f>
        <v/>
      </c>
      <c r="M29" s="7">
        <f>Допущения!$C$38</f>
        <v/>
      </c>
      <c r="N29" s="7">
        <f>Допущения!$C$38</f>
        <v/>
      </c>
      <c r="O29" s="7">
        <f>Допущения!$C$38</f>
        <v/>
      </c>
      <c r="P29" s="7">
        <f>Допущения!$C$38</f>
        <v/>
      </c>
      <c r="Q29" s="7">
        <f>Допущения!$C$38</f>
        <v/>
      </c>
      <c r="R29" s="7">
        <f>Допущения!$C$38</f>
        <v/>
      </c>
      <c r="S29" s="7">
        <f>Допущения!$C$38</f>
        <v/>
      </c>
      <c r="T29" s="7">
        <f>Допущения!$C$38</f>
        <v/>
      </c>
      <c r="U29" s="7">
        <f>Допущения!$C$38</f>
        <v/>
      </c>
      <c r="V29" s="7">
        <f>Допущения!$C$38</f>
        <v/>
      </c>
      <c r="W29" s="7">
        <f>Допущения!$C$38</f>
        <v/>
      </c>
      <c r="X29" s="7">
        <f>Допущения!$C$38</f>
        <v/>
      </c>
      <c r="Y29" s="7">
        <f>Допущения!$C$38</f>
        <v/>
      </c>
    </row>
    <row r="30">
      <c r="A30" s="17" t="inlineStr">
        <is>
          <t>Разработчик на аутсорсе</t>
        </is>
      </c>
      <c r="B30" s="7">
        <f>IF(1&lt;=Допущения!$C$39,0,IF(1&lt;=Допущения!$C$41,Допущения!$C$40,Допущения!$C$42))</f>
        <v/>
      </c>
      <c r="C30" s="7">
        <f>IF(2&lt;=Допущения!$C$39,0,IF(2&lt;=Допущения!$C$41,Допущения!$C$40,Допущения!$C$42))</f>
        <v/>
      </c>
      <c r="D30" s="7">
        <f>IF(3&lt;=Допущения!$C$39,0,IF(3&lt;=Допущения!$C$41,Допущения!$C$40,Допущения!$C$42))</f>
        <v/>
      </c>
      <c r="E30" s="7">
        <f>IF(4&lt;=Допущения!$C$39,0,IF(4&lt;=Допущения!$C$41,Допущения!$C$40,Допущения!$C$42))</f>
        <v/>
      </c>
      <c r="F30" s="7">
        <f>IF(5&lt;=Допущения!$C$39,0,IF(5&lt;=Допущения!$C$41,Допущения!$C$40,Допущения!$C$42))</f>
        <v/>
      </c>
      <c r="G30" s="7">
        <f>IF(6&lt;=Допущения!$C$39,0,IF(6&lt;=Допущения!$C$41,Допущения!$C$40,Допущения!$C$42))</f>
        <v/>
      </c>
      <c r="H30" s="7">
        <f>IF(7&lt;=Допущения!$C$39,0,IF(7&lt;=Допущения!$C$41,Допущения!$C$40,Допущения!$C$42))</f>
        <v/>
      </c>
      <c r="I30" s="7">
        <f>IF(8&lt;=Допущения!$C$39,0,IF(8&lt;=Допущения!$C$41,Допущения!$C$40,Допущения!$C$42))</f>
        <v/>
      </c>
      <c r="J30" s="7">
        <f>IF(9&lt;=Допущения!$C$39,0,IF(9&lt;=Допущения!$C$41,Допущения!$C$40,Допущения!$C$42))</f>
        <v/>
      </c>
      <c r="K30" s="7">
        <f>IF(10&lt;=Допущения!$C$39,0,IF(10&lt;=Допущения!$C$41,Допущения!$C$40,Допущения!$C$42))</f>
        <v/>
      </c>
      <c r="L30" s="7">
        <f>IF(11&lt;=Допущения!$C$39,0,IF(11&lt;=Допущения!$C$41,Допущения!$C$40,Допущения!$C$42))</f>
        <v/>
      </c>
      <c r="M30" s="7">
        <f>IF(12&lt;=Допущения!$C$39,0,IF(12&lt;=Допущения!$C$41,Допущения!$C$40,Допущения!$C$42))</f>
        <v/>
      </c>
      <c r="N30" s="7">
        <f>IF(13&lt;=Допущения!$C$39,0,IF(13&lt;=Допущения!$C$41,Допущения!$C$40,Допущения!$C$42))</f>
        <v/>
      </c>
      <c r="O30" s="7">
        <f>IF(14&lt;=Допущения!$C$39,0,IF(14&lt;=Допущения!$C$41,Допущения!$C$40,Допущения!$C$42))</f>
        <v/>
      </c>
      <c r="P30" s="7">
        <f>IF(15&lt;=Допущения!$C$39,0,IF(15&lt;=Допущения!$C$41,Допущения!$C$40,Допущения!$C$42))</f>
        <v/>
      </c>
      <c r="Q30" s="7">
        <f>IF(16&lt;=Допущения!$C$39,0,IF(16&lt;=Допущения!$C$41,Допущения!$C$40,Допущения!$C$42))</f>
        <v/>
      </c>
      <c r="R30" s="7">
        <f>IF(17&lt;=Допущения!$C$39,0,IF(17&lt;=Допущения!$C$41,Допущения!$C$40,Допущения!$C$42))</f>
        <v/>
      </c>
      <c r="S30" s="7">
        <f>IF(18&lt;=Допущения!$C$39,0,IF(18&lt;=Допущения!$C$41,Допущения!$C$40,Допущения!$C$42))</f>
        <v/>
      </c>
      <c r="T30" s="7">
        <f>IF(19&lt;=Допущения!$C$39,0,IF(19&lt;=Допущения!$C$41,Допущения!$C$40,Допущения!$C$42))</f>
        <v/>
      </c>
      <c r="U30" s="7">
        <f>IF(20&lt;=Допущения!$C$39,0,IF(20&lt;=Допущения!$C$41,Допущения!$C$40,Допущения!$C$42))</f>
        <v/>
      </c>
      <c r="V30" s="7">
        <f>IF(21&lt;=Допущения!$C$39,0,IF(21&lt;=Допущения!$C$41,Допущения!$C$40,Допущения!$C$42))</f>
        <v/>
      </c>
      <c r="W30" s="7">
        <f>IF(22&lt;=Допущения!$C$39,0,IF(22&lt;=Допущения!$C$41,Допущения!$C$40,Допущения!$C$42))</f>
        <v/>
      </c>
      <c r="X30" s="7">
        <f>IF(23&lt;=Допущения!$C$39,0,IF(23&lt;=Допущения!$C$41,Допущения!$C$40,Допущения!$C$42))</f>
        <v/>
      </c>
      <c r="Y30" s="7">
        <f>IF(24&lt;=Допущения!$C$39,0,IF(24&lt;=Допущения!$C$41,Допущения!$C$40,Допущения!$C$42))</f>
        <v/>
      </c>
      <c r="Z30" s="8" t="inlineStr">
        <is>
          <t>Лесенка вместо одной ставки: первый квартал без разработчика, затем девять месяцев по первой ставке, с 13-го месяца — по второй. Взносов нет: это подряд, а не трудовой договор.</t>
        </is>
      </c>
    </row>
    <row r="31">
      <c r="A31" s="27" t="inlineStr">
        <is>
          <t>Страховые взносы за гендиректора</t>
        </is>
      </c>
      <c r="B31" s="15">
        <f>MAX(Допущения!$C$37,Допущения!$C$48)*Допущения!$C$49</f>
        <v/>
      </c>
      <c r="C31" s="15">
        <f>MAX(Допущения!$C$37,Допущения!$C$48)*Допущения!$C$49</f>
        <v/>
      </c>
      <c r="D31" s="15">
        <f>MAX(Допущения!$C$37,Допущения!$C$48)*Допущения!$C$49</f>
        <v/>
      </c>
      <c r="E31" s="15">
        <f>MAX(Допущения!$C$37,Допущения!$C$48)*Допущения!$C$49</f>
        <v/>
      </c>
      <c r="F31" s="15">
        <f>MAX(Допущения!$C$37,Допущения!$C$48)*Допущения!$C$49</f>
        <v/>
      </c>
      <c r="G31" s="15">
        <f>MAX(Допущения!$C$37,Допущения!$C$48)*Допущения!$C$49</f>
        <v/>
      </c>
      <c r="H31" s="15">
        <f>MAX(Допущения!$C$37,Допущения!$C$48)*Допущения!$C$49</f>
        <v/>
      </c>
      <c r="I31" s="15">
        <f>MAX(Допущения!$C$37,Допущения!$C$48)*Допущения!$C$49</f>
        <v/>
      </c>
      <c r="J31" s="15">
        <f>MAX(Допущения!$C$37,Допущения!$C$48)*Допущения!$C$49</f>
        <v/>
      </c>
      <c r="K31" s="15">
        <f>MAX(Допущения!$C$37,Допущения!$C$48)*Допущения!$C$49</f>
        <v/>
      </c>
      <c r="L31" s="15">
        <f>MAX(Допущения!$C$37,Допущения!$C$48)*Допущения!$C$49</f>
        <v/>
      </c>
      <c r="M31" s="15">
        <f>MAX(Допущения!$C$37,Допущения!$C$48)*Допущения!$C$49</f>
        <v/>
      </c>
      <c r="N31" s="15">
        <f>MAX(Допущения!$C$37,Допущения!$C$48)*Допущения!$C$49</f>
        <v/>
      </c>
      <c r="O31" s="15">
        <f>MAX(Допущения!$C$37,Допущения!$C$48)*Допущения!$C$49</f>
        <v/>
      </c>
      <c r="P31" s="15">
        <f>MAX(Допущения!$C$37,Допущения!$C$48)*Допущения!$C$49</f>
        <v/>
      </c>
      <c r="Q31" s="15">
        <f>MAX(Допущения!$C$37,Допущения!$C$48)*Допущения!$C$49</f>
        <v/>
      </c>
      <c r="R31" s="15">
        <f>MAX(Допущения!$C$37,Допущения!$C$48)*Допущения!$C$49</f>
        <v/>
      </c>
      <c r="S31" s="15">
        <f>MAX(Допущения!$C$37,Допущения!$C$48)*Допущения!$C$49</f>
        <v/>
      </c>
      <c r="T31" s="15">
        <f>MAX(Допущения!$C$37,Допущения!$C$48)*Допущения!$C$49</f>
        <v/>
      </c>
      <c r="U31" s="15">
        <f>MAX(Допущения!$C$37,Допущения!$C$48)*Допущения!$C$49</f>
        <v/>
      </c>
      <c r="V31" s="15">
        <f>MAX(Допущения!$C$37,Допущения!$C$48)*Допущения!$C$49</f>
        <v/>
      </c>
      <c r="W31" s="15">
        <f>MAX(Допущения!$C$37,Допущения!$C$48)*Допущения!$C$49</f>
        <v/>
      </c>
      <c r="X31" s="15">
        <f>MAX(Допущения!$C$37,Допущения!$C$48)*Допущения!$C$49</f>
        <v/>
      </c>
      <c r="Y31" s="15">
        <f>MAX(Допущения!$C$37,Допущения!$C$48)*Допущения!$C$49</f>
        <v/>
      </c>
      <c r="Z31" s="8" t="inlineStr">
        <is>
          <t>ОБЯЗАТЕЛЬНЫ С 01.01.2026 даже без трудового договора и без зарплаты: ФЗ от 28.11.2025 № 425-ФЗ изменил п. 1 ст. 421 НК РФ. Подробности — на листе «Налоги и риски».</t>
        </is>
      </c>
    </row>
    <row r="32">
      <c r="A32" s="5" t="inlineStr">
        <is>
          <t>Расходы всего</t>
        </is>
      </c>
      <c r="B32" s="14">
        <f>SUM(B15:B31)</f>
        <v/>
      </c>
      <c r="C32" s="14">
        <f>SUM(C15:C31)</f>
        <v/>
      </c>
      <c r="D32" s="14">
        <f>SUM(D15:D31)</f>
        <v/>
      </c>
      <c r="E32" s="14">
        <f>SUM(E15:E31)</f>
        <v/>
      </c>
      <c r="F32" s="14">
        <f>SUM(F15:F31)</f>
        <v/>
      </c>
      <c r="G32" s="14">
        <f>SUM(G15:G31)</f>
        <v/>
      </c>
      <c r="H32" s="14">
        <f>SUM(H15:H31)</f>
        <v/>
      </c>
      <c r="I32" s="14">
        <f>SUM(I15:I31)</f>
        <v/>
      </c>
      <c r="J32" s="14">
        <f>SUM(J15:J31)</f>
        <v/>
      </c>
      <c r="K32" s="14">
        <f>SUM(K15:K31)</f>
        <v/>
      </c>
      <c r="L32" s="14">
        <f>SUM(L15:L31)</f>
        <v/>
      </c>
      <c r="M32" s="14">
        <f>SUM(M15:M31)</f>
        <v/>
      </c>
      <c r="N32" s="14">
        <f>SUM(N15:N31)</f>
        <v/>
      </c>
      <c r="O32" s="14">
        <f>SUM(O15:O31)</f>
        <v/>
      </c>
      <c r="P32" s="14">
        <f>SUM(P15:P31)</f>
        <v/>
      </c>
      <c r="Q32" s="14">
        <f>SUM(Q15:Q31)</f>
        <v/>
      </c>
      <c r="R32" s="14">
        <f>SUM(R15:R31)</f>
        <v/>
      </c>
      <c r="S32" s="14">
        <f>SUM(S15:S31)</f>
        <v/>
      </c>
      <c r="T32" s="14">
        <f>SUM(T15:T31)</f>
        <v/>
      </c>
      <c r="U32" s="14">
        <f>SUM(U15:U31)</f>
        <v/>
      </c>
      <c r="V32" s="14">
        <f>SUM(V15:V31)</f>
        <v/>
      </c>
      <c r="W32" s="14">
        <f>SUM(W15:W31)</f>
        <v/>
      </c>
      <c r="X32" s="14">
        <f>SUM(X15:X31)</f>
        <v/>
      </c>
      <c r="Y32" s="14">
        <f>SUM(Y15:Y31)</f>
        <v/>
      </c>
    </row>
    <row r="33">
      <c r="A33" s="3" t="inlineStr">
        <is>
          <t>Налоги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>
      <c r="A34" s="17" t="inlineStr">
        <is>
          <t>Доход накопленным итогом за год</t>
        </is>
      </c>
      <c r="B34" s="7">
        <f>SUM($B$12:B12)</f>
        <v/>
      </c>
      <c r="C34" s="7">
        <f>SUM($B$12:C12)</f>
        <v/>
      </c>
      <c r="D34" s="7">
        <f>SUM($B$12:D12)</f>
        <v/>
      </c>
      <c r="E34" s="7">
        <f>SUM($E$12:E12)</f>
        <v/>
      </c>
      <c r="F34" s="7">
        <f>SUM($E$12:F12)</f>
        <v/>
      </c>
      <c r="G34" s="7">
        <f>SUM($E$12:G12)</f>
        <v/>
      </c>
      <c r="H34" s="7">
        <f>SUM($E$12:H12)</f>
        <v/>
      </c>
      <c r="I34" s="7">
        <f>SUM($E$12:I12)</f>
        <v/>
      </c>
      <c r="J34" s="7">
        <f>SUM($E$12:J12)</f>
        <v/>
      </c>
      <c r="K34" s="7">
        <f>SUM($E$12:K12)</f>
        <v/>
      </c>
      <c r="L34" s="7">
        <f>SUM($E$12:L12)</f>
        <v/>
      </c>
      <c r="M34" s="7">
        <f>SUM($E$12:M12)</f>
        <v/>
      </c>
      <c r="N34" s="7">
        <f>SUM($E$12:N12)</f>
        <v/>
      </c>
      <c r="O34" s="7">
        <f>SUM($E$12:O12)</f>
        <v/>
      </c>
      <c r="P34" s="7">
        <f>SUM($E$12:P12)</f>
        <v/>
      </c>
      <c r="Q34" s="7">
        <f>SUM($E$12:Q12)</f>
        <v/>
      </c>
      <c r="R34" s="7">
        <f>SUM($E$12:R12)</f>
        <v/>
      </c>
      <c r="S34" s="7">
        <f>SUM($E$12:S12)</f>
        <v/>
      </c>
      <c r="T34" s="7">
        <f>SUM($E$12:T12)</f>
        <v/>
      </c>
      <c r="U34" s="7">
        <f>SUM($E$12:U12)</f>
        <v/>
      </c>
      <c r="V34" s="7">
        <f>SUM($E$12:V12)</f>
        <v/>
      </c>
      <c r="W34" s="7">
        <f>SUM($E$12:W12)</f>
        <v/>
      </c>
      <c r="X34" s="7">
        <f>SUM($E$12:X12)</f>
        <v/>
      </c>
      <c r="Y34" s="7">
        <f>SUM($E$12:Y12)</f>
        <v/>
      </c>
      <c r="Z34" s="8" t="inlineStr">
        <is>
          <t>Год считается календарный: старт в октябре, поэтому первый календарный год у нас три месяца, а полный год начинается с января.</t>
        </is>
      </c>
    </row>
    <row r="35">
      <c r="A35" s="17" t="inlineStr">
        <is>
          <t>НДС</t>
        </is>
      </c>
      <c r="B35" s="7">
        <f>IF(B34&gt;Допущения!$C$46,B12*Допущения!$C$47,0)</f>
        <v/>
      </c>
      <c r="C35" s="7">
        <f>IF(C34&gt;Допущения!$C$46,C12*Допущения!$C$47,0)</f>
        <v/>
      </c>
      <c r="D35" s="7">
        <f>IF(D34&gt;Допущения!$C$46,D12*Допущения!$C$47,0)</f>
        <v/>
      </c>
      <c r="E35" s="7">
        <f>IF(E34&gt;Допущения!$C$46,E12*Допущения!$C$47,0)</f>
        <v/>
      </c>
      <c r="F35" s="7">
        <f>IF(F34&gt;Допущения!$C$46,F12*Допущения!$C$47,0)</f>
        <v/>
      </c>
      <c r="G35" s="7">
        <f>IF(G34&gt;Допущения!$C$46,G12*Допущения!$C$47,0)</f>
        <v/>
      </c>
      <c r="H35" s="7">
        <f>IF(H34&gt;Допущения!$C$46,H12*Допущения!$C$47,0)</f>
        <v/>
      </c>
      <c r="I35" s="7">
        <f>IF(I34&gt;Допущения!$C$46,I12*Допущения!$C$47,0)</f>
        <v/>
      </c>
      <c r="J35" s="7">
        <f>IF(J34&gt;Допущения!$C$46,J12*Допущения!$C$47,0)</f>
        <v/>
      </c>
      <c r="K35" s="7">
        <f>IF(K34&gt;Допущения!$C$46,K12*Допущения!$C$47,0)</f>
        <v/>
      </c>
      <c r="L35" s="7">
        <f>IF(L34&gt;Допущения!$C$46,L12*Допущения!$C$47,0)</f>
        <v/>
      </c>
      <c r="M35" s="7">
        <f>IF(M34&gt;Допущения!$C$46,M12*Допущения!$C$47,0)</f>
        <v/>
      </c>
      <c r="N35" s="7">
        <f>IF(N34&gt;Допущения!$C$46,N12*Допущения!$C$47,0)</f>
        <v/>
      </c>
      <c r="O35" s="7">
        <f>IF(O34&gt;Допущения!$C$46,O12*Допущения!$C$47,0)</f>
        <v/>
      </c>
      <c r="P35" s="7">
        <f>IF(P34&gt;Допущения!$C$46,P12*Допущения!$C$47,0)</f>
        <v/>
      </c>
      <c r="Q35" s="7">
        <f>IF(Q34&gt;Допущения!$C$46,Q12*Допущения!$C$47,0)</f>
        <v/>
      </c>
      <c r="R35" s="7">
        <f>IF(R34&gt;Допущения!$C$46,R12*Допущения!$C$47,0)</f>
        <v/>
      </c>
      <c r="S35" s="7">
        <f>IF(S34&gt;Допущения!$C$46,S12*Допущения!$C$47,0)</f>
        <v/>
      </c>
      <c r="T35" s="7">
        <f>IF(T34&gt;Допущения!$C$46,T12*Допущения!$C$47,0)</f>
        <v/>
      </c>
      <c r="U35" s="7">
        <f>IF(U34&gt;Допущения!$C$46,U12*Допущения!$C$47,0)</f>
        <v/>
      </c>
      <c r="V35" s="7">
        <f>IF(V34&gt;Допущения!$C$46,V12*Допущения!$C$47,0)</f>
        <v/>
      </c>
      <c r="W35" s="7">
        <f>IF(W34&gt;Допущения!$C$46,W12*Допущения!$C$47,0)</f>
        <v/>
      </c>
      <c r="X35" s="7">
        <f>IF(X34&gt;Допущения!$C$46,X12*Допущения!$C$47,0)</f>
        <v/>
      </c>
      <c r="Y35" s="7">
        <f>IF(Y34&gt;Допущения!$C$46,Y12*Допущения!$C$47,0)</f>
        <v/>
      </c>
      <c r="Z35" s="8" t="inlineStr">
        <is>
          <t>Пока доход с начала года не перевалил за 20 млн ₽ — НДС нет вовсе.</t>
        </is>
      </c>
    </row>
    <row r="36">
      <c r="A36" s="17" t="inlineStr">
        <is>
          <t>База УСН (доходы минус расходы)</t>
        </is>
      </c>
      <c r="B36" s="7">
        <f>B12-B32-B35</f>
        <v/>
      </c>
      <c r="C36" s="7">
        <f>C12-C32-C35</f>
        <v/>
      </c>
      <c r="D36" s="7">
        <f>D12-D32-D35</f>
        <v/>
      </c>
      <c r="E36" s="7">
        <f>E12-E32-E35</f>
        <v/>
      </c>
      <c r="F36" s="7">
        <f>F12-F32-F35</f>
        <v/>
      </c>
      <c r="G36" s="7">
        <f>G12-G32-G35</f>
        <v/>
      </c>
      <c r="H36" s="7">
        <f>H12-H32-H35</f>
        <v/>
      </c>
      <c r="I36" s="7">
        <f>I12-I32-I35</f>
        <v/>
      </c>
      <c r="J36" s="7">
        <f>J12-J32-J35</f>
        <v/>
      </c>
      <c r="K36" s="7">
        <f>K12-K32-K35</f>
        <v/>
      </c>
      <c r="L36" s="7">
        <f>L12-L32-L35</f>
        <v/>
      </c>
      <c r="M36" s="7">
        <f>M12-M32-M35</f>
        <v/>
      </c>
      <c r="N36" s="7">
        <f>N12-N32-N35</f>
        <v/>
      </c>
      <c r="O36" s="7">
        <f>O12-O32-O35</f>
        <v/>
      </c>
      <c r="P36" s="7">
        <f>P12-P32-P35</f>
        <v/>
      </c>
      <c r="Q36" s="7">
        <f>Q12-Q32-Q35</f>
        <v/>
      </c>
      <c r="R36" s="7">
        <f>R12-R32-R35</f>
        <v/>
      </c>
      <c r="S36" s="7">
        <f>S12-S32-S35</f>
        <v/>
      </c>
      <c r="T36" s="7">
        <f>T12-T32-T35</f>
        <v/>
      </c>
      <c r="U36" s="7">
        <f>U12-U32-U35</f>
        <v/>
      </c>
      <c r="V36" s="7">
        <f>V12-V32-V35</f>
        <v/>
      </c>
      <c r="W36" s="7">
        <f>W12-W32-W35</f>
        <v/>
      </c>
      <c r="X36" s="7">
        <f>X12-X32-X35</f>
        <v/>
      </c>
      <c r="Y36" s="7">
        <f>Y12-Y32-Y35</f>
        <v/>
      </c>
    </row>
    <row r="37">
      <c r="A37" s="17" t="inlineStr">
        <is>
          <t>Налог УСН</t>
        </is>
      </c>
      <c r="B37" s="7">
        <f>MAX(B36*Допущения!$C$44,B12*Допущения!$C$45)</f>
        <v/>
      </c>
      <c r="C37" s="7">
        <f>MAX(C36*Допущения!$C$44,C12*Допущения!$C$45)</f>
        <v/>
      </c>
      <c r="D37" s="7">
        <f>MAX(D36*Допущения!$C$44,D12*Допущения!$C$45)</f>
        <v/>
      </c>
      <c r="E37" s="7">
        <f>MAX(E36*Допущения!$C$44,E12*Допущения!$C$45)</f>
        <v/>
      </c>
      <c r="F37" s="7">
        <f>MAX(F36*Допущения!$C$44,F12*Допущения!$C$45)</f>
        <v/>
      </c>
      <c r="G37" s="7">
        <f>MAX(G36*Допущения!$C$44,G12*Допущения!$C$45)</f>
        <v/>
      </c>
      <c r="H37" s="7">
        <f>MAX(H36*Допущения!$C$44,H12*Допущения!$C$45)</f>
        <v/>
      </c>
      <c r="I37" s="7">
        <f>MAX(I36*Допущения!$C$44,I12*Допущения!$C$45)</f>
        <v/>
      </c>
      <c r="J37" s="7">
        <f>MAX(J36*Допущения!$C$44,J12*Допущения!$C$45)</f>
        <v/>
      </c>
      <c r="K37" s="7">
        <f>MAX(K36*Допущения!$C$44,K12*Допущения!$C$45)</f>
        <v/>
      </c>
      <c r="L37" s="7">
        <f>MAX(L36*Допущения!$C$44,L12*Допущения!$C$45)</f>
        <v/>
      </c>
      <c r="M37" s="7">
        <f>MAX(M36*Допущения!$C$44,M12*Допущения!$C$45)</f>
        <v/>
      </c>
      <c r="N37" s="7">
        <f>MAX(N36*Допущения!$C$44,N12*Допущения!$C$45)</f>
        <v/>
      </c>
      <c r="O37" s="7">
        <f>MAX(O36*Допущения!$C$44,O12*Допущения!$C$45)</f>
        <v/>
      </c>
      <c r="P37" s="7">
        <f>MAX(P36*Допущения!$C$44,P12*Допущения!$C$45)</f>
        <v/>
      </c>
      <c r="Q37" s="7">
        <f>MAX(Q36*Допущения!$C$44,Q12*Допущения!$C$45)</f>
        <v/>
      </c>
      <c r="R37" s="7">
        <f>MAX(R36*Допущения!$C$44,R12*Допущения!$C$45)</f>
        <v/>
      </c>
      <c r="S37" s="7">
        <f>MAX(S36*Допущения!$C$44,S12*Допущения!$C$45)</f>
        <v/>
      </c>
      <c r="T37" s="7">
        <f>MAX(T36*Допущения!$C$44,T12*Допущения!$C$45)</f>
        <v/>
      </c>
      <c r="U37" s="7">
        <f>MAX(U36*Допущения!$C$44,U12*Допущения!$C$45)</f>
        <v/>
      </c>
      <c r="V37" s="7">
        <f>MAX(V36*Допущения!$C$44,V12*Допущения!$C$45)</f>
        <v/>
      </c>
      <c r="W37" s="7">
        <f>MAX(W36*Допущения!$C$44,W12*Допущения!$C$45)</f>
        <v/>
      </c>
      <c r="X37" s="7">
        <f>MAX(X36*Допущения!$C$44,X12*Допущения!$C$45)</f>
        <v/>
      </c>
      <c r="Y37" s="7">
        <f>MAX(Y36*Допущения!$C$44,Y12*Допущения!$C$45)</f>
        <v/>
      </c>
      <c r="Z37" s="8" t="inlineStr">
        <is>
          <t>Большее из двух: 15% с разницы или 1% с дохода. В убыточные месяцы платится минимальный налог — его платят и при убытке, это регулярно забывают.</t>
        </is>
      </c>
    </row>
    <row r="38">
      <c r="A38" s="5" t="inlineStr">
        <is>
          <t>Налоги всего</t>
        </is>
      </c>
      <c r="B38" s="14">
        <f>B35+B37</f>
        <v/>
      </c>
      <c r="C38" s="14">
        <f>C35+C37</f>
        <v/>
      </c>
      <c r="D38" s="14">
        <f>D35+D37</f>
        <v/>
      </c>
      <c r="E38" s="14">
        <f>E35+E37</f>
        <v/>
      </c>
      <c r="F38" s="14">
        <f>F35+F37</f>
        <v/>
      </c>
      <c r="G38" s="14">
        <f>G35+G37</f>
        <v/>
      </c>
      <c r="H38" s="14">
        <f>H35+H37</f>
        <v/>
      </c>
      <c r="I38" s="14">
        <f>I35+I37</f>
        <v/>
      </c>
      <c r="J38" s="14">
        <f>J35+J37</f>
        <v/>
      </c>
      <c r="K38" s="14">
        <f>K35+K37</f>
        <v/>
      </c>
      <c r="L38" s="14">
        <f>L35+L37</f>
        <v/>
      </c>
      <c r="M38" s="14">
        <f>M35+M37</f>
        <v/>
      </c>
      <c r="N38" s="14">
        <f>N35+N37</f>
        <v/>
      </c>
      <c r="O38" s="14">
        <f>O35+O37</f>
        <v/>
      </c>
      <c r="P38" s="14">
        <f>P35+P37</f>
        <v/>
      </c>
      <c r="Q38" s="14">
        <f>Q35+Q37</f>
        <v/>
      </c>
      <c r="R38" s="14">
        <f>R35+R37</f>
        <v/>
      </c>
      <c r="S38" s="14">
        <f>S35+S37</f>
        <v/>
      </c>
      <c r="T38" s="14">
        <f>T35+T37</f>
        <v/>
      </c>
      <c r="U38" s="14">
        <f>U35+U37</f>
        <v/>
      </c>
      <c r="V38" s="14">
        <f>V35+V37</f>
        <v/>
      </c>
      <c r="W38" s="14">
        <f>W35+W37</f>
        <v/>
      </c>
      <c r="X38" s="14">
        <f>X35+X37</f>
        <v/>
      </c>
      <c r="Y38" s="14">
        <f>Y35+Y37</f>
        <v/>
      </c>
    </row>
    <row r="39">
      <c r="A39" s="3" t="inlineStr">
        <is>
          <t>Итог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>
      <c r="A40" s="5" t="inlineStr">
        <is>
          <t>Прибыль до налогов</t>
        </is>
      </c>
      <c r="B40" s="14">
        <f>B12-B32</f>
        <v/>
      </c>
      <c r="C40" s="14">
        <f>C12-C32</f>
        <v/>
      </c>
      <c r="D40" s="14">
        <f>D12-D32</f>
        <v/>
      </c>
      <c r="E40" s="14">
        <f>E12-E32</f>
        <v/>
      </c>
      <c r="F40" s="14">
        <f>F12-F32</f>
        <v/>
      </c>
      <c r="G40" s="14">
        <f>G12-G32</f>
        <v/>
      </c>
      <c r="H40" s="14">
        <f>H12-H32</f>
        <v/>
      </c>
      <c r="I40" s="14">
        <f>I12-I32</f>
        <v/>
      </c>
      <c r="J40" s="14">
        <f>J12-J32</f>
        <v/>
      </c>
      <c r="K40" s="14">
        <f>K12-K32</f>
        <v/>
      </c>
      <c r="L40" s="14">
        <f>L12-L32</f>
        <v/>
      </c>
      <c r="M40" s="14">
        <f>M12-M32</f>
        <v/>
      </c>
      <c r="N40" s="14">
        <f>N12-N32</f>
        <v/>
      </c>
      <c r="O40" s="14">
        <f>O12-O32</f>
        <v/>
      </c>
      <c r="P40" s="14">
        <f>P12-P32</f>
        <v/>
      </c>
      <c r="Q40" s="14">
        <f>Q12-Q32</f>
        <v/>
      </c>
      <c r="R40" s="14">
        <f>R12-R32</f>
        <v/>
      </c>
      <c r="S40" s="14">
        <f>S12-S32</f>
        <v/>
      </c>
      <c r="T40" s="14">
        <f>T12-T32</f>
        <v/>
      </c>
      <c r="U40" s="14">
        <f>U12-U32</f>
        <v/>
      </c>
      <c r="V40" s="14">
        <f>V12-V32</f>
        <v/>
      </c>
      <c r="W40" s="14">
        <f>W12-W32</f>
        <v/>
      </c>
      <c r="X40" s="14">
        <f>X12-X32</f>
        <v/>
      </c>
      <c r="Y40" s="14">
        <f>Y12-Y32</f>
        <v/>
      </c>
    </row>
    <row r="41">
      <c r="A41" s="5" t="inlineStr">
        <is>
          <t>Чистая прибыль</t>
        </is>
      </c>
      <c r="B41" s="14">
        <f>B40-B38</f>
        <v/>
      </c>
      <c r="C41" s="14">
        <f>C40-C38</f>
        <v/>
      </c>
      <c r="D41" s="14">
        <f>D40-D38</f>
        <v/>
      </c>
      <c r="E41" s="14">
        <f>E40-E38</f>
        <v/>
      </c>
      <c r="F41" s="14">
        <f>F40-F38</f>
        <v/>
      </c>
      <c r="G41" s="14">
        <f>G40-G38</f>
        <v/>
      </c>
      <c r="H41" s="14">
        <f>H40-H38</f>
        <v/>
      </c>
      <c r="I41" s="14">
        <f>I40-I38</f>
        <v/>
      </c>
      <c r="J41" s="14">
        <f>J40-J38</f>
        <v/>
      </c>
      <c r="K41" s="14">
        <f>K40-K38</f>
        <v/>
      </c>
      <c r="L41" s="14">
        <f>L40-L38</f>
        <v/>
      </c>
      <c r="M41" s="14">
        <f>M40-M38</f>
        <v/>
      </c>
      <c r="N41" s="14">
        <f>N40-N38</f>
        <v/>
      </c>
      <c r="O41" s="14">
        <f>O40-O38</f>
        <v/>
      </c>
      <c r="P41" s="14">
        <f>P40-P38</f>
        <v/>
      </c>
      <c r="Q41" s="14">
        <f>Q40-Q38</f>
        <v/>
      </c>
      <c r="R41" s="14">
        <f>R40-R38</f>
        <v/>
      </c>
      <c r="S41" s="14">
        <f>S40-S38</f>
        <v/>
      </c>
      <c r="T41" s="14">
        <f>T40-T38</f>
        <v/>
      </c>
      <c r="U41" s="14">
        <f>U40-U38</f>
        <v/>
      </c>
      <c r="V41" s="14">
        <f>V40-V38</f>
        <v/>
      </c>
      <c r="W41" s="14">
        <f>W40-W38</f>
        <v/>
      </c>
      <c r="X41" s="14">
        <f>X40-X38</f>
        <v/>
      </c>
      <c r="Y41" s="14">
        <f>Y40-Y38</f>
        <v/>
      </c>
    </row>
    <row r="42">
      <c r="A42" s="5" t="inlineStr">
        <is>
          <t>Денежный поток за месяц</t>
        </is>
      </c>
      <c r="B42" s="14">
        <f>B13-B32-B38</f>
        <v/>
      </c>
      <c r="C42" s="14">
        <f>C13-C32-C38</f>
        <v/>
      </c>
      <c r="D42" s="14">
        <f>D13-D32-D38</f>
        <v/>
      </c>
      <c r="E42" s="14">
        <f>E13-E32-E38</f>
        <v/>
      </c>
      <c r="F42" s="14">
        <f>F13-F32-F38</f>
        <v/>
      </c>
      <c r="G42" s="14">
        <f>G13-G32-G38</f>
        <v/>
      </c>
      <c r="H42" s="14">
        <f>H13-H32-H38</f>
        <v/>
      </c>
      <c r="I42" s="14">
        <f>I13-I32-I38</f>
        <v/>
      </c>
      <c r="J42" s="14">
        <f>J13-J32-J38</f>
        <v/>
      </c>
      <c r="K42" s="14">
        <f>K13-K32-K38</f>
        <v/>
      </c>
      <c r="L42" s="14">
        <f>L13-L32-L38</f>
        <v/>
      </c>
      <c r="M42" s="14">
        <f>M13-M32-M38</f>
        <v/>
      </c>
      <c r="N42" s="14">
        <f>N13-N32-N38</f>
        <v/>
      </c>
      <c r="O42" s="14">
        <f>O13-O32-O38</f>
        <v/>
      </c>
      <c r="P42" s="14">
        <f>P13-P32-P38</f>
        <v/>
      </c>
      <c r="Q42" s="14">
        <f>Q13-Q32-Q38</f>
        <v/>
      </c>
      <c r="R42" s="14">
        <f>R13-R32-R38</f>
        <v/>
      </c>
      <c r="S42" s="14">
        <f>S13-S32-S38</f>
        <v/>
      </c>
      <c r="T42" s="14">
        <f>T13-T32-T38</f>
        <v/>
      </c>
      <c r="U42" s="14">
        <f>U13-U32-U38</f>
        <v/>
      </c>
      <c r="V42" s="14">
        <f>V13-V32-V38</f>
        <v/>
      </c>
      <c r="W42" s="14">
        <f>W13-W32-W38</f>
        <v/>
      </c>
      <c r="X42" s="14">
        <f>X13-X32-X38</f>
        <v/>
      </c>
      <c r="Y42" s="14">
        <f>Y13-Y32-Y38</f>
        <v/>
      </c>
    </row>
    <row r="43">
      <c r="A43" s="5" t="inlineStr">
        <is>
          <t>Деньги на конец месяца</t>
        </is>
      </c>
      <c r="B43" s="14">
        <f>Допущения!$C$52+B42</f>
        <v/>
      </c>
      <c r="C43" s="14">
        <f>B43+C42</f>
        <v/>
      </c>
      <c r="D43" s="14">
        <f>C43+D42</f>
        <v/>
      </c>
      <c r="E43" s="14">
        <f>D43+E42</f>
        <v/>
      </c>
      <c r="F43" s="14">
        <f>E43+F42</f>
        <v/>
      </c>
      <c r="G43" s="14">
        <f>F43+G42</f>
        <v/>
      </c>
      <c r="H43" s="14">
        <f>G43+H42</f>
        <v/>
      </c>
      <c r="I43" s="14">
        <f>H43+I42</f>
        <v/>
      </c>
      <c r="J43" s="14">
        <f>I43+J42</f>
        <v/>
      </c>
      <c r="K43" s="14">
        <f>J43+K42</f>
        <v/>
      </c>
      <c r="L43" s="14">
        <f>K43+L42</f>
        <v/>
      </c>
      <c r="M43" s="14">
        <f>L43+M42</f>
        <v/>
      </c>
      <c r="N43" s="14">
        <f>M43+N42</f>
        <v/>
      </c>
      <c r="O43" s="14">
        <f>N43+O42</f>
        <v/>
      </c>
      <c r="P43" s="14">
        <f>O43+P42</f>
        <v/>
      </c>
      <c r="Q43" s="14">
        <f>P43+Q42</f>
        <v/>
      </c>
      <c r="R43" s="14">
        <f>Q43+R42</f>
        <v/>
      </c>
      <c r="S43" s="14">
        <f>R43+S42</f>
        <v/>
      </c>
      <c r="T43" s="14">
        <f>S43+T42</f>
        <v/>
      </c>
      <c r="U43" s="14">
        <f>T43+U42</f>
        <v/>
      </c>
      <c r="V43" s="14">
        <f>U43+V42</f>
        <v/>
      </c>
      <c r="W43" s="14">
        <f>V43+W42</f>
        <v/>
      </c>
      <c r="X43" s="14">
        <f>W43+X42</f>
        <v/>
      </c>
      <c r="Y43" s="14">
        <f>X43+Y42</f>
        <v/>
      </c>
      <c r="Z43" s="8" t="inlineStr">
        <is>
          <t>Месяц, в котором это число уходит в минус, — тот, до которого нужны деньги.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60" customWidth="1" min="26" max="26"/>
  </cols>
  <sheetData>
    <row r="1">
      <c r="A1" s="1" t="inlineStr">
        <is>
          <t>Расчёт по месяцам — подписка 1490 ₽ в месяц</t>
        </is>
      </c>
    </row>
    <row r="2">
      <c r="A2" s="2" t="inlineStr">
        <is>
          <t>Каждая клетка — формула от листа «Допущения», колонка D. Меняете там — меняется здесь.</t>
        </is>
      </c>
    </row>
    <row r="3">
      <c r="A3" s="18" t="inlineStr">
        <is>
          <t>Месяц</t>
        </is>
      </c>
      <c r="B3" s="18" t="inlineStr">
        <is>
          <t>окт 2026</t>
        </is>
      </c>
      <c r="C3" s="18" t="inlineStr">
        <is>
          <t>ноя 2026</t>
        </is>
      </c>
      <c r="D3" s="18" t="inlineStr">
        <is>
          <t>дек 2026</t>
        </is>
      </c>
      <c r="E3" s="18" t="inlineStr">
        <is>
          <t>янв 2027</t>
        </is>
      </c>
      <c r="F3" s="18" t="inlineStr">
        <is>
          <t>фев 2027</t>
        </is>
      </c>
      <c r="G3" s="18" t="inlineStr">
        <is>
          <t>мар 2027</t>
        </is>
      </c>
      <c r="H3" s="18" t="inlineStr">
        <is>
          <t>апр 2027</t>
        </is>
      </c>
      <c r="I3" s="18" t="inlineStr">
        <is>
          <t>май 2027</t>
        </is>
      </c>
      <c r="J3" s="18" t="inlineStr">
        <is>
          <t>июн 2027</t>
        </is>
      </c>
      <c r="K3" s="18" t="inlineStr">
        <is>
          <t>июл 2027</t>
        </is>
      </c>
      <c r="L3" s="18" t="inlineStr">
        <is>
          <t>авг 2027</t>
        </is>
      </c>
      <c r="M3" s="18" t="inlineStr">
        <is>
          <t>сен 2027</t>
        </is>
      </c>
      <c r="N3" s="18" t="inlineStr">
        <is>
          <t>окт 2027</t>
        </is>
      </c>
      <c r="O3" s="18" t="inlineStr">
        <is>
          <t>ноя 2027</t>
        </is>
      </c>
      <c r="P3" s="18" t="inlineStr">
        <is>
          <t>дек 2027</t>
        </is>
      </c>
      <c r="Q3" s="18" t="inlineStr">
        <is>
          <t>янв 2028</t>
        </is>
      </c>
      <c r="R3" s="18" t="inlineStr">
        <is>
          <t>фев 2028</t>
        </is>
      </c>
      <c r="S3" s="18" t="inlineStr">
        <is>
          <t>мар 2028</t>
        </is>
      </c>
      <c r="T3" s="18" t="inlineStr">
        <is>
          <t>апр 2028</t>
        </is>
      </c>
      <c r="U3" s="18" t="inlineStr">
        <is>
          <t>май 2028</t>
        </is>
      </c>
      <c r="V3" s="18" t="inlineStr">
        <is>
          <t>июн 2028</t>
        </is>
      </c>
      <c r="W3" s="18" t="inlineStr">
        <is>
          <t>июл 2028</t>
        </is>
      </c>
      <c r="X3" s="18" t="inlineStr">
        <is>
          <t>авг 2028</t>
        </is>
      </c>
      <c r="Y3" s="18" t="inlineStr">
        <is>
          <t>сен 2028</t>
        </is>
      </c>
    </row>
    <row r="4">
      <c r="A4" s="3" t="inlineStr">
        <is>
          <t>Воронка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>
      <c r="A5" s="17" t="inlineStr">
        <is>
          <t>Зарегистрировано всего (накопленно)</t>
        </is>
      </c>
      <c r="B5" s="11">
        <f>B8</f>
        <v/>
      </c>
      <c r="C5" s="11">
        <f>B5+C8</f>
        <v/>
      </c>
      <c r="D5" s="11">
        <f>C5+D8</f>
        <v/>
      </c>
      <c r="E5" s="11">
        <f>D5+E8</f>
        <v/>
      </c>
      <c r="F5" s="11">
        <f>E5+F8</f>
        <v/>
      </c>
      <c r="G5" s="11">
        <f>F5+G8</f>
        <v/>
      </c>
      <c r="H5" s="11">
        <f>G5+H8</f>
        <v/>
      </c>
      <c r="I5" s="11">
        <f>H5+I8</f>
        <v/>
      </c>
      <c r="J5" s="11">
        <f>I5+J8</f>
        <v/>
      </c>
      <c r="K5" s="11">
        <f>J5+K8</f>
        <v/>
      </c>
      <c r="L5" s="11">
        <f>K5+L8</f>
        <v/>
      </c>
      <c r="M5" s="11">
        <f>L5+M8</f>
        <v/>
      </c>
      <c r="N5" s="11">
        <f>M5+N8</f>
        <v/>
      </c>
      <c r="O5" s="11">
        <f>N5+O8</f>
        <v/>
      </c>
      <c r="P5" s="11">
        <f>O5+P8</f>
        <v/>
      </c>
      <c r="Q5" s="11">
        <f>P5+Q8</f>
        <v/>
      </c>
      <c r="R5" s="11">
        <f>Q5+R8</f>
        <v/>
      </c>
      <c r="S5" s="11">
        <f>R5+S8</f>
        <v/>
      </c>
      <c r="T5" s="11">
        <f>S5+T8</f>
        <v/>
      </c>
      <c r="U5" s="11">
        <f>T5+U8</f>
        <v/>
      </c>
      <c r="V5" s="11">
        <f>U5+V8</f>
        <v/>
      </c>
      <c r="W5" s="11">
        <f>V5+W8</f>
        <v/>
      </c>
      <c r="X5" s="11">
        <f>W5+X8</f>
        <v/>
      </c>
      <c r="Y5" s="11">
        <f>X5+Y8</f>
        <v/>
      </c>
    </row>
    <row r="6">
      <c r="A6" s="17" t="inlineStr">
        <is>
          <t xml:space="preserve">  из них органических за месяц</t>
        </is>
      </c>
      <c r="B6" s="11">
        <f>Допущения!$D$17*(1+Допущения!$D$18)^0</f>
        <v/>
      </c>
      <c r="C6" s="11">
        <f>Допущения!$D$17*(1+Допущения!$D$18)^1</f>
        <v/>
      </c>
      <c r="D6" s="11">
        <f>Допущения!$D$17*(1+Допущения!$D$18)^2</f>
        <v/>
      </c>
      <c r="E6" s="11">
        <f>Допущения!$D$17*(1+Допущения!$D$18)^3</f>
        <v/>
      </c>
      <c r="F6" s="11">
        <f>Допущения!$D$17*(1+Допущения!$D$18)^4</f>
        <v/>
      </c>
      <c r="G6" s="11">
        <f>Допущения!$D$17*(1+Допущения!$D$18)^5</f>
        <v/>
      </c>
      <c r="H6" s="11">
        <f>Допущения!$D$17*(1+Допущения!$D$18)^6</f>
        <v/>
      </c>
      <c r="I6" s="11">
        <f>Допущения!$D$17*(1+Допущения!$D$18)^7</f>
        <v/>
      </c>
      <c r="J6" s="11">
        <f>Допущения!$D$17*(1+Допущения!$D$18)^8</f>
        <v/>
      </c>
      <c r="K6" s="11">
        <f>Допущения!$D$17*(1+Допущения!$D$18)^9</f>
        <v/>
      </c>
      <c r="L6" s="11">
        <f>Допущения!$D$17*(1+Допущения!$D$18)^10</f>
        <v/>
      </c>
      <c r="M6" s="11">
        <f>Допущения!$D$17*(1+Допущения!$D$18)^11</f>
        <v/>
      </c>
      <c r="N6" s="11">
        <f>Допущения!$D$17*(1+Допущения!$D$18)^12</f>
        <v/>
      </c>
      <c r="O6" s="11">
        <f>Допущения!$D$17*(1+Допущения!$D$18)^13</f>
        <v/>
      </c>
      <c r="P6" s="11">
        <f>Допущения!$D$17*(1+Допущения!$D$18)^14</f>
        <v/>
      </c>
      <c r="Q6" s="11">
        <f>Допущения!$D$17*(1+Допущения!$D$18)^15</f>
        <v/>
      </c>
      <c r="R6" s="11">
        <f>Допущения!$D$17*(1+Допущения!$D$18)^16</f>
        <v/>
      </c>
      <c r="S6" s="11">
        <f>Допущения!$D$17*(1+Допущения!$D$18)^17</f>
        <v/>
      </c>
      <c r="T6" s="11">
        <f>Допущения!$D$17*(1+Допущения!$D$18)^18</f>
        <v/>
      </c>
      <c r="U6" s="11">
        <f>Допущения!$D$17*(1+Допущения!$D$18)^19</f>
        <v/>
      </c>
      <c r="V6" s="11">
        <f>Допущения!$D$17*(1+Допущения!$D$18)^20</f>
        <v/>
      </c>
      <c r="W6" s="11">
        <f>Допущения!$D$17*(1+Допущения!$D$18)^21</f>
        <v/>
      </c>
      <c r="X6" s="11">
        <f>Допущения!$D$17*(1+Допущения!$D$18)^22</f>
        <v/>
      </c>
      <c r="Y6" s="11">
        <f>Допущения!$D$17*(1+Допущения!$D$18)^23</f>
        <v/>
      </c>
    </row>
    <row r="7">
      <c r="A7" s="17" t="inlineStr">
        <is>
          <t xml:space="preserve">  из них из платного продвижения</t>
        </is>
      </c>
      <c r="B7" s="11">
        <f>Допущения!$D$34/Допущения!$D$19</f>
        <v/>
      </c>
      <c r="C7" s="11">
        <f>Допущения!$D$34/Допущения!$D$19</f>
        <v/>
      </c>
      <c r="D7" s="11">
        <f>Допущения!$D$34/Допущения!$D$19</f>
        <v/>
      </c>
      <c r="E7" s="11">
        <f>Допущения!$D$34/Допущения!$D$19</f>
        <v/>
      </c>
      <c r="F7" s="11">
        <f>Допущения!$D$34/Допущения!$D$19</f>
        <v/>
      </c>
      <c r="G7" s="11">
        <f>Допущения!$D$34/Допущения!$D$19</f>
        <v/>
      </c>
      <c r="H7" s="11">
        <f>Допущения!$D$34/Допущения!$D$19</f>
        <v/>
      </c>
      <c r="I7" s="11">
        <f>Допущения!$D$34/Допущения!$D$19</f>
        <v/>
      </c>
      <c r="J7" s="11">
        <f>Допущения!$D$34/Допущения!$D$19</f>
        <v/>
      </c>
      <c r="K7" s="11">
        <f>Допущения!$D$34/Допущения!$D$19</f>
        <v/>
      </c>
      <c r="L7" s="11">
        <f>Допущения!$D$34/Допущения!$D$19</f>
        <v/>
      </c>
      <c r="M7" s="11">
        <f>Допущения!$D$34/Допущения!$D$19</f>
        <v/>
      </c>
      <c r="N7" s="11">
        <f>Допущения!$D$34/Допущения!$D$19</f>
        <v/>
      </c>
      <c r="O7" s="11">
        <f>Допущения!$D$34/Допущения!$D$19</f>
        <v/>
      </c>
      <c r="P7" s="11">
        <f>Допущения!$D$34/Допущения!$D$19</f>
        <v/>
      </c>
      <c r="Q7" s="11">
        <f>Допущения!$D$34/Допущения!$D$19</f>
        <v/>
      </c>
      <c r="R7" s="11">
        <f>Допущения!$D$34/Допущения!$D$19</f>
        <v/>
      </c>
      <c r="S7" s="11">
        <f>Допущения!$D$34/Допущения!$D$19</f>
        <v/>
      </c>
      <c r="T7" s="11">
        <f>Допущения!$D$34/Допущения!$D$19</f>
        <v/>
      </c>
      <c r="U7" s="11">
        <f>Допущения!$D$34/Допущения!$D$19</f>
        <v/>
      </c>
      <c r="V7" s="11">
        <f>Допущения!$D$34/Допущения!$D$19</f>
        <v/>
      </c>
      <c r="W7" s="11">
        <f>Допущения!$D$34/Допущения!$D$19</f>
        <v/>
      </c>
      <c r="X7" s="11">
        <f>Допущения!$D$34/Допущения!$D$19</f>
        <v/>
      </c>
      <c r="Y7" s="11">
        <f>Допущения!$D$34/Допущения!$D$19</f>
        <v/>
      </c>
      <c r="Z7" s="8" t="inlineStr">
        <is>
          <t>Бюджет продвижения, делённый на стоимость одной регистрации. Вот здесь деньги превращаются в людей — и здесь же видно, во сколько это обходится.</t>
        </is>
      </c>
    </row>
    <row r="8">
      <c r="A8" s="17" t="inlineStr">
        <is>
          <t>Регистраций за месяц</t>
        </is>
      </c>
      <c r="B8" s="11">
        <f>ROUND((B6+B7)*1,0)</f>
        <v/>
      </c>
      <c r="C8" s="11">
        <f>ROUND((C6+C7)*MAX(0,1-B5/Допущения!$D$15),0)</f>
        <v/>
      </c>
      <c r="D8" s="11">
        <f>ROUND((D6+D7)*MAX(0,1-C5/Допущения!$D$15),0)</f>
        <v/>
      </c>
      <c r="E8" s="11">
        <f>ROUND((E6+E7)*MAX(0,1-D5/Допущения!$D$15),0)</f>
        <v/>
      </c>
      <c r="F8" s="11">
        <f>ROUND((F6+F7)*MAX(0,1-E5/Допущения!$D$15),0)</f>
        <v/>
      </c>
      <c r="G8" s="11">
        <f>ROUND((G6+G7)*MAX(0,1-F5/Допущения!$D$15),0)</f>
        <v/>
      </c>
      <c r="H8" s="11">
        <f>ROUND((H6+H7)*MAX(0,1-G5/Допущения!$D$15),0)</f>
        <v/>
      </c>
      <c r="I8" s="11">
        <f>ROUND((I6+I7)*MAX(0,1-H5/Допущения!$D$15),0)</f>
        <v/>
      </c>
      <c r="J8" s="11">
        <f>ROUND((J6+J7)*MAX(0,1-I5/Допущения!$D$15),0)</f>
        <v/>
      </c>
      <c r="K8" s="11">
        <f>ROUND((K6+K7)*MAX(0,1-J5/Допущения!$D$15),0)</f>
        <v/>
      </c>
      <c r="L8" s="11">
        <f>ROUND((L6+L7)*MAX(0,1-K5/Допущения!$D$15),0)</f>
        <v/>
      </c>
      <c r="M8" s="11">
        <f>ROUND((M6+M7)*MAX(0,1-L5/Допущения!$D$15),0)</f>
        <v/>
      </c>
      <c r="N8" s="11">
        <f>ROUND((N6+N7)*MAX(0,1-M5/Допущения!$D$15),0)</f>
        <v/>
      </c>
      <c r="O8" s="11">
        <f>ROUND((O6+O7)*MAX(0,1-N5/Допущения!$D$15),0)</f>
        <v/>
      </c>
      <c r="P8" s="11">
        <f>ROUND((P6+P7)*MAX(0,1-O5/Допущения!$D$15),0)</f>
        <v/>
      </c>
      <c r="Q8" s="11">
        <f>ROUND((Q6+Q7)*MAX(0,1-P5/Допущения!$D$15),0)</f>
        <v/>
      </c>
      <c r="R8" s="11">
        <f>ROUND((R6+R7)*MAX(0,1-Q5/Допущения!$D$15),0)</f>
        <v/>
      </c>
      <c r="S8" s="11">
        <f>ROUND((S6+S7)*MAX(0,1-R5/Допущения!$D$15),0)</f>
        <v/>
      </c>
      <c r="T8" s="11">
        <f>ROUND((T6+T7)*MAX(0,1-S5/Допущения!$D$15),0)</f>
        <v/>
      </c>
      <c r="U8" s="11">
        <f>ROUND((U6+U7)*MAX(0,1-T5/Допущения!$D$15),0)</f>
        <v/>
      </c>
      <c r="V8" s="11">
        <f>ROUND((V6+V7)*MAX(0,1-U5/Допущения!$D$15),0)</f>
        <v/>
      </c>
      <c r="W8" s="11">
        <f>ROUND((W6+W7)*MAX(0,1-V5/Допущения!$D$15),0)</f>
        <v/>
      </c>
      <c r="X8" s="11">
        <f>ROUND((X6+X7)*MAX(0,1-W5/Допущения!$D$15),0)</f>
        <v/>
      </c>
      <c r="Y8" s="11">
        <f>ROUND((Y6+Y7)*MAX(0,1-X5/Допущения!$D$15),0)</f>
        <v/>
      </c>
      <c r="Z8" s="8" t="inlineStr">
        <is>
          <t>Рост гасится по мере заполнения рынка: множитель «сколько ещё осталось незарегистрированных» из потолка. Без него экспонента обещает рост, которому неоткуда взяться.</t>
        </is>
      </c>
    </row>
    <row r="9">
      <c r="A9" s="17" t="inlineStr">
        <is>
          <t>Новых платящих за месяц</t>
        </is>
      </c>
      <c r="B9" s="11">
        <f>IFERROR(ROUND(INDEX($B$8:$Y$8,1,COLUMN()-1-Допущения!$D$21)*Допущения!$D$20,0),0)</f>
        <v/>
      </c>
      <c r="C9" s="11">
        <f>IFERROR(ROUND(INDEX($B$8:$Y$8,1,COLUMN()-1-Допущения!$D$21)*Допущения!$D$20,0),0)</f>
        <v/>
      </c>
      <c r="D9" s="11">
        <f>IFERROR(ROUND(INDEX($B$8:$Y$8,1,COLUMN()-1-Допущения!$D$21)*Допущения!$D$20,0),0)</f>
        <v/>
      </c>
      <c r="E9" s="11">
        <f>IFERROR(ROUND(INDEX($B$8:$Y$8,1,COLUMN()-1-Допущения!$D$21)*Допущения!$D$20,0),0)</f>
        <v/>
      </c>
      <c r="F9" s="11">
        <f>IFERROR(ROUND(INDEX($B$8:$Y$8,1,COLUMN()-1-Допущения!$D$21)*Допущения!$D$20,0),0)</f>
        <v/>
      </c>
      <c r="G9" s="11">
        <f>IFERROR(ROUND(INDEX($B$8:$Y$8,1,COLUMN()-1-Допущения!$D$21)*Допущения!$D$20,0),0)</f>
        <v/>
      </c>
      <c r="H9" s="11">
        <f>IFERROR(ROUND(INDEX($B$8:$Y$8,1,COLUMN()-1-Допущения!$D$21)*Допущения!$D$20,0),0)</f>
        <v/>
      </c>
      <c r="I9" s="11">
        <f>IFERROR(ROUND(INDEX($B$8:$Y$8,1,COLUMN()-1-Допущения!$D$21)*Допущения!$D$20,0),0)</f>
        <v/>
      </c>
      <c r="J9" s="11">
        <f>IFERROR(ROUND(INDEX($B$8:$Y$8,1,COLUMN()-1-Допущения!$D$21)*Допущения!$D$20,0),0)</f>
        <v/>
      </c>
      <c r="K9" s="11">
        <f>IFERROR(ROUND(INDEX($B$8:$Y$8,1,COLUMN()-1-Допущения!$D$21)*Допущения!$D$20,0),0)</f>
        <v/>
      </c>
      <c r="L9" s="11">
        <f>IFERROR(ROUND(INDEX($B$8:$Y$8,1,COLUMN()-1-Допущения!$D$21)*Допущения!$D$20,0),0)</f>
        <v/>
      </c>
      <c r="M9" s="11">
        <f>IFERROR(ROUND(INDEX($B$8:$Y$8,1,COLUMN()-1-Допущения!$D$21)*Допущения!$D$20,0),0)</f>
        <v/>
      </c>
      <c r="N9" s="11">
        <f>IFERROR(ROUND(INDEX($B$8:$Y$8,1,COLUMN()-1-Допущения!$D$21)*Допущения!$D$20,0),0)</f>
        <v/>
      </c>
      <c r="O9" s="11">
        <f>IFERROR(ROUND(INDEX($B$8:$Y$8,1,COLUMN()-1-Допущения!$D$21)*Допущения!$D$20,0),0)</f>
        <v/>
      </c>
      <c r="P9" s="11">
        <f>IFERROR(ROUND(INDEX($B$8:$Y$8,1,COLUMN()-1-Допущения!$D$21)*Допущения!$D$20,0),0)</f>
        <v/>
      </c>
      <c r="Q9" s="11">
        <f>IFERROR(ROUND(INDEX($B$8:$Y$8,1,COLUMN()-1-Допущения!$D$21)*Допущения!$D$20,0),0)</f>
        <v/>
      </c>
      <c r="R9" s="11">
        <f>IFERROR(ROUND(INDEX($B$8:$Y$8,1,COLUMN()-1-Допущения!$D$21)*Допущения!$D$20,0),0)</f>
        <v/>
      </c>
      <c r="S9" s="11">
        <f>IFERROR(ROUND(INDEX($B$8:$Y$8,1,COLUMN()-1-Допущения!$D$21)*Допущения!$D$20,0),0)</f>
        <v/>
      </c>
      <c r="T9" s="11">
        <f>IFERROR(ROUND(INDEX($B$8:$Y$8,1,COLUMN()-1-Допущения!$D$21)*Допущения!$D$20,0),0)</f>
        <v/>
      </c>
      <c r="U9" s="11">
        <f>IFERROR(ROUND(INDEX($B$8:$Y$8,1,COLUMN()-1-Допущения!$D$21)*Допущения!$D$20,0),0)</f>
        <v/>
      </c>
      <c r="V9" s="11">
        <f>IFERROR(ROUND(INDEX($B$8:$Y$8,1,COLUMN()-1-Допущения!$D$21)*Допущения!$D$20,0),0)</f>
        <v/>
      </c>
      <c r="W9" s="11">
        <f>IFERROR(ROUND(INDEX($B$8:$Y$8,1,COLUMN()-1-Допущения!$D$21)*Допущения!$D$20,0),0)</f>
        <v/>
      </c>
      <c r="X9" s="11">
        <f>IFERROR(ROUND(INDEX($B$8:$Y$8,1,COLUMN()-1-Допущения!$D$21)*Допущения!$D$20,0),0)</f>
        <v/>
      </c>
      <c r="Y9" s="11">
        <f>IFERROR(ROUND(INDEX($B$8:$Y$8,1,COLUMN()-1-Допущения!$D$21)*Допущения!$D$20,0),0)</f>
        <v/>
      </c>
      <c r="Z9" s="8" t="inlineStr">
        <is>
          <t>Регистрация превращается в оплату не сразу: воронка с задержкой из допущений.</t>
        </is>
      </c>
    </row>
    <row r="10">
      <c r="A10" s="17" t="inlineStr">
        <is>
          <t>Платящих всего на конец месяца</t>
        </is>
      </c>
      <c r="B10" s="11">
        <f>MIN(Допущения!$D$53+B9,Допущения!$D$15*Допущения!$D$16)</f>
        <v/>
      </c>
      <c r="C10" s="11">
        <f>MIN(B10*(1-Допущения!$D$12*(1-Допущения!$D$10*1/24))+C9,Допущения!$D$15*Допущения!$D$16)</f>
        <v/>
      </c>
      <c r="D10" s="11">
        <f>MIN(C10*(1-Допущения!$D$12*(1-Допущения!$D$10*2/24))+D9,Допущения!$D$15*Допущения!$D$16)</f>
        <v/>
      </c>
      <c r="E10" s="11">
        <f>MIN(D10*(1-Допущения!$D$12*(1-Допущения!$D$10*3/24))+E9,Допущения!$D$15*Допущения!$D$16)</f>
        <v/>
      </c>
      <c r="F10" s="11">
        <f>MIN(E10*(1-Допущения!$D$12*(1-Допущения!$D$10*4/24))+F9,Допущения!$D$15*Допущения!$D$16)</f>
        <v/>
      </c>
      <c r="G10" s="11">
        <f>MIN(F10*(1-Допущения!$D$12*(1-Допущения!$D$10*5/24))+G9,Допущения!$D$15*Допущения!$D$16)</f>
        <v/>
      </c>
      <c r="H10" s="11">
        <f>MIN(G10*(1-Допущения!$D$12*(1-Допущения!$D$10*6/24))+H9,Допущения!$D$15*Допущения!$D$16)</f>
        <v/>
      </c>
      <c r="I10" s="11">
        <f>MIN(H10*(1-Допущения!$D$12*(1-Допущения!$D$10*7/24))+I9,Допущения!$D$15*Допущения!$D$16)</f>
        <v/>
      </c>
      <c r="J10" s="11">
        <f>MIN(I10*(1-Допущения!$D$12*(1-Допущения!$D$10*8/24))+J9,Допущения!$D$15*Допущения!$D$16)</f>
        <v/>
      </c>
      <c r="K10" s="11">
        <f>MIN(J10*(1-Допущения!$D$12*(1-Допущения!$D$10*9/24))+K9,Допущения!$D$15*Допущения!$D$16)</f>
        <v/>
      </c>
      <c r="L10" s="11">
        <f>MIN(K10*(1-Допущения!$D$12*(1-Допущения!$D$10*10/24))+L9,Допущения!$D$15*Допущения!$D$16)</f>
        <v/>
      </c>
      <c r="M10" s="11">
        <f>MIN(L10*(1-Допущения!$D$12*(1-Допущения!$D$10*11/24))+M9,Допущения!$D$15*Допущения!$D$16)</f>
        <v/>
      </c>
      <c r="N10" s="11">
        <f>MIN(M10*(1-Допущения!$D$12*(1-Допущения!$D$10*12/24))+N9,Допущения!$D$15*Допущения!$D$16)</f>
        <v/>
      </c>
      <c r="O10" s="11">
        <f>MIN(N10*(1-Допущения!$D$12*(1-Допущения!$D$10*13/24))+O9,Допущения!$D$15*Допущения!$D$16)</f>
        <v/>
      </c>
      <c r="P10" s="11">
        <f>MIN(O10*(1-Допущения!$D$12*(1-Допущения!$D$10*14/24))+P9,Допущения!$D$15*Допущения!$D$16)</f>
        <v/>
      </c>
      <c r="Q10" s="11">
        <f>MIN(P10*(1-Допущения!$D$12*(1-Допущения!$D$10*15/24))+Q9,Допущения!$D$15*Допущения!$D$16)</f>
        <v/>
      </c>
      <c r="R10" s="11">
        <f>MIN(Q10*(1-Допущения!$D$12*(1-Допущения!$D$10*16/24))+R9,Допущения!$D$15*Допущения!$D$16)</f>
        <v/>
      </c>
      <c r="S10" s="11">
        <f>MIN(R10*(1-Допущения!$D$12*(1-Допущения!$D$10*17/24))+S9,Допущения!$D$15*Допущения!$D$16)</f>
        <v/>
      </c>
      <c r="T10" s="11">
        <f>MIN(S10*(1-Допущения!$D$12*(1-Допущения!$D$10*18/24))+T9,Допущения!$D$15*Допущения!$D$16)</f>
        <v/>
      </c>
      <c r="U10" s="11">
        <f>MIN(T10*(1-Допущения!$D$12*(1-Допущения!$D$10*19/24))+U9,Допущения!$D$15*Допущения!$D$16)</f>
        <v/>
      </c>
      <c r="V10" s="11">
        <f>MIN(U10*(1-Допущения!$D$12*(1-Допущения!$D$10*20/24))+V9,Допущения!$D$15*Допущения!$D$16)</f>
        <v/>
      </c>
      <c r="W10" s="11">
        <f>MIN(V10*(1-Допущения!$D$12*(1-Допущения!$D$10*21/24))+W9,Допущения!$D$15*Допущения!$D$16)</f>
        <v/>
      </c>
      <c r="X10" s="11">
        <f>MIN(W10*(1-Допущения!$D$12*(1-Допущения!$D$10*22/24))+X9,Допущения!$D$15*Допущения!$D$16)</f>
        <v/>
      </c>
      <c r="Y10" s="11">
        <f>MIN(X10*(1-Допущения!$D$12*(1-Допущения!$D$10*23/24))+Y9,Допущения!$D$15*Допущения!$D$16)</f>
        <v/>
      </c>
      <c r="Z10" s="8" t="inlineStr">
        <is>
          <t>Годовые подписки не отваливаются помесячно — доля годовых растёт линейно и гасит отток.</t>
        </is>
      </c>
    </row>
    <row r="11">
      <c r="A11" s="3" t="inlineStr">
        <is>
          <t>Выручка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>
      <c r="A12" s="17" t="inlineStr">
        <is>
          <t>Выручка за месяц</t>
        </is>
      </c>
      <c r="B12" s="7">
        <f>B10*(Допущения!$D$8*(1-Допущения!$D$10*0/24)+Допущения!$D$9/12*Допущения!$D$10*0/24)</f>
        <v/>
      </c>
      <c r="C12" s="7">
        <f>C10*(Допущения!$D$8*(1-Допущения!$D$10*1/24)+Допущения!$D$9/12*Допущения!$D$10*1/24)</f>
        <v/>
      </c>
      <c r="D12" s="7">
        <f>D10*(Допущения!$D$8*(1-Допущения!$D$10*2/24)+Допущения!$D$9/12*Допущения!$D$10*2/24)</f>
        <v/>
      </c>
      <c r="E12" s="7">
        <f>E10*(Допущения!$D$8*(1-Допущения!$D$10*3/24)+Допущения!$D$9/12*Допущения!$D$10*3/24)</f>
        <v/>
      </c>
      <c r="F12" s="7">
        <f>F10*(Допущения!$D$8*(1-Допущения!$D$10*4/24)+Допущения!$D$9/12*Допущения!$D$10*4/24)</f>
        <v/>
      </c>
      <c r="G12" s="7">
        <f>G10*(Допущения!$D$8*(1-Допущения!$D$10*5/24)+Допущения!$D$9/12*Допущения!$D$10*5/24)</f>
        <v/>
      </c>
      <c r="H12" s="7">
        <f>H10*(Допущения!$D$8*(1-Допущения!$D$10*6/24)+Допущения!$D$9/12*Допущения!$D$10*6/24)</f>
        <v/>
      </c>
      <c r="I12" s="7">
        <f>I10*(Допущения!$D$8*(1-Допущения!$D$10*7/24)+Допущения!$D$9/12*Допущения!$D$10*7/24)</f>
        <v/>
      </c>
      <c r="J12" s="7">
        <f>J10*(Допущения!$D$8*(1-Допущения!$D$10*8/24)+Допущения!$D$9/12*Допущения!$D$10*8/24)</f>
        <v/>
      </c>
      <c r="K12" s="7">
        <f>K10*(Допущения!$D$8*(1-Допущения!$D$10*9/24)+Допущения!$D$9/12*Допущения!$D$10*9/24)</f>
        <v/>
      </c>
      <c r="L12" s="7">
        <f>L10*(Допущения!$D$8*(1-Допущения!$D$10*10/24)+Допущения!$D$9/12*Допущения!$D$10*10/24)</f>
        <v/>
      </c>
      <c r="M12" s="7">
        <f>M10*(Допущения!$D$8*(1-Допущения!$D$10*11/24)+Допущения!$D$9/12*Допущения!$D$10*11/24)</f>
        <v/>
      </c>
      <c r="N12" s="7">
        <f>N10*(Допущения!$D$8*(1-Допущения!$D$10*12/24)+Допущения!$D$9/12*Допущения!$D$10*12/24)</f>
        <v/>
      </c>
      <c r="O12" s="7">
        <f>O10*(Допущения!$D$8*(1-Допущения!$D$10*13/24)+Допущения!$D$9/12*Допущения!$D$10*13/24)</f>
        <v/>
      </c>
      <c r="P12" s="7">
        <f>P10*(Допущения!$D$8*(1-Допущения!$D$10*14/24)+Допущения!$D$9/12*Допущения!$D$10*14/24)</f>
        <v/>
      </c>
      <c r="Q12" s="7">
        <f>Q10*(Допущения!$D$8*(1-Допущения!$D$10*15/24)+Допущения!$D$9/12*Допущения!$D$10*15/24)</f>
        <v/>
      </c>
      <c r="R12" s="7">
        <f>R10*(Допущения!$D$8*(1-Допущения!$D$10*16/24)+Допущения!$D$9/12*Допущения!$D$10*16/24)</f>
        <v/>
      </c>
      <c r="S12" s="7">
        <f>S10*(Допущения!$D$8*(1-Допущения!$D$10*17/24)+Допущения!$D$9/12*Допущения!$D$10*17/24)</f>
        <v/>
      </c>
      <c r="T12" s="7">
        <f>T10*(Допущения!$D$8*(1-Допущения!$D$10*18/24)+Допущения!$D$9/12*Допущения!$D$10*18/24)</f>
        <v/>
      </c>
      <c r="U12" s="7">
        <f>U10*(Допущения!$D$8*(1-Допущения!$D$10*19/24)+Допущения!$D$9/12*Допущения!$D$10*19/24)</f>
        <v/>
      </c>
      <c r="V12" s="7">
        <f>V10*(Допущения!$D$8*(1-Допущения!$D$10*20/24)+Допущения!$D$9/12*Допущения!$D$10*20/24)</f>
        <v/>
      </c>
      <c r="W12" s="7">
        <f>W10*(Допущения!$D$8*(1-Допущения!$D$10*21/24)+Допущения!$D$9/12*Допущения!$D$10*21/24)</f>
        <v/>
      </c>
      <c r="X12" s="7">
        <f>X10*(Допущения!$D$8*(1-Допущения!$D$10*22/24)+Допущения!$D$9/12*Допущения!$D$10*22/24)</f>
        <v/>
      </c>
      <c r="Y12" s="7">
        <f>Y10*(Допущения!$D$8*(1-Допущения!$D$10*23/24)+Допущения!$D$9/12*Допущения!$D$10*23/24)</f>
        <v/>
      </c>
      <c r="Z12" s="8" t="inlineStr">
        <is>
          <t>Годовая подписка признаётся равномерно (1/12 в месяц) — так честнее для P&amp;L. Деньгами она приходит сразу, это видно в строке ниже.</t>
        </is>
      </c>
    </row>
    <row r="13">
      <c r="A13" s="17" t="inlineStr">
        <is>
          <t>Поступило денег за месяц</t>
        </is>
      </c>
      <c r="B13" s="7">
        <f>B12+B9*Допущения!$D$10*0/24*(Допущения!$D$9-Допущения!$D$9/12)</f>
        <v/>
      </c>
      <c r="C13" s="7">
        <f>C12+C9*Допущения!$D$10*1/24*(Допущения!$D$9-Допущения!$D$9/12)</f>
        <v/>
      </c>
      <c r="D13" s="7">
        <f>D12+D9*Допущения!$D$10*2/24*(Допущения!$D$9-Допущения!$D$9/12)</f>
        <v/>
      </c>
      <c r="E13" s="7">
        <f>E12+E9*Допущения!$D$10*3/24*(Допущения!$D$9-Допущения!$D$9/12)</f>
        <v/>
      </c>
      <c r="F13" s="7">
        <f>F12+F9*Допущения!$D$10*4/24*(Допущения!$D$9-Допущения!$D$9/12)</f>
        <v/>
      </c>
      <c r="G13" s="7">
        <f>G12+G9*Допущения!$D$10*5/24*(Допущения!$D$9-Допущения!$D$9/12)</f>
        <v/>
      </c>
      <c r="H13" s="7">
        <f>H12+H9*Допущения!$D$10*6/24*(Допущения!$D$9-Допущения!$D$9/12)</f>
        <v/>
      </c>
      <c r="I13" s="7">
        <f>I12+I9*Допущения!$D$10*7/24*(Допущения!$D$9-Допущения!$D$9/12)</f>
        <v/>
      </c>
      <c r="J13" s="7">
        <f>J12+J9*Допущения!$D$10*8/24*(Допущения!$D$9-Допущения!$D$9/12)</f>
        <v/>
      </c>
      <c r="K13" s="7">
        <f>K12+K9*Допущения!$D$10*9/24*(Допущения!$D$9-Допущения!$D$9/12)</f>
        <v/>
      </c>
      <c r="L13" s="7">
        <f>L12+L9*Допущения!$D$10*10/24*(Допущения!$D$9-Допущения!$D$9/12)</f>
        <v/>
      </c>
      <c r="M13" s="7">
        <f>M12+M9*Допущения!$D$10*11/24*(Допущения!$D$9-Допущения!$D$9/12)</f>
        <v/>
      </c>
      <c r="N13" s="7">
        <f>N12+N9*Допущения!$D$10*12/24*(Допущения!$D$9-Допущения!$D$9/12)</f>
        <v/>
      </c>
      <c r="O13" s="7">
        <f>O12+O9*Допущения!$D$10*13/24*(Допущения!$D$9-Допущения!$D$9/12)</f>
        <v/>
      </c>
      <c r="P13" s="7">
        <f>P12+P9*Допущения!$D$10*14/24*(Допущения!$D$9-Допущения!$D$9/12)</f>
        <v/>
      </c>
      <c r="Q13" s="7">
        <f>Q12+Q9*Допущения!$D$10*15/24*(Допущения!$D$9-Допущения!$D$9/12)</f>
        <v/>
      </c>
      <c r="R13" s="7">
        <f>R12+R9*Допущения!$D$10*16/24*(Допущения!$D$9-Допущения!$D$9/12)</f>
        <v/>
      </c>
      <c r="S13" s="7">
        <f>S12+S9*Допущения!$D$10*17/24*(Допущения!$D$9-Допущения!$D$9/12)</f>
        <v/>
      </c>
      <c r="T13" s="7">
        <f>T12+T9*Допущения!$D$10*18/24*(Допущения!$D$9-Допущения!$D$9/12)</f>
        <v/>
      </c>
      <c r="U13" s="7">
        <f>U12+U9*Допущения!$D$10*19/24*(Допущения!$D$9-Допущения!$D$9/12)</f>
        <v/>
      </c>
      <c r="V13" s="7">
        <f>V12+V9*Допущения!$D$10*20/24*(Допущения!$D$9-Допущения!$D$9/12)</f>
        <v/>
      </c>
      <c r="W13" s="7">
        <f>W12+W9*Допущения!$D$10*21/24*(Допущения!$D$9-Допущения!$D$9/12)</f>
        <v/>
      </c>
      <c r="X13" s="7">
        <f>X12+X9*Допущения!$D$10*22/24*(Допущения!$D$9-Допущения!$D$9/12)</f>
        <v/>
      </c>
      <c r="Y13" s="7">
        <f>Y12+Y9*Допущения!$D$10*23/24*(Допущения!$D$9-Допущения!$D$9/12)</f>
        <v/>
      </c>
      <c r="Z13" s="8" t="inlineStr">
        <is>
          <t>Годовые подписчики платят за год вперёд: в месяц продажи приходит вся сумма.</t>
        </is>
      </c>
    </row>
    <row r="14">
      <c r="A14" s="3" t="inlineStr">
        <is>
          <t>Расходы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>
      <c r="A15" s="17" t="inlineStr">
        <is>
          <t>Хостинг Timeweb</t>
        </is>
      </c>
      <c r="B15" s="7">
        <f>Допущения!$D$23</f>
        <v/>
      </c>
      <c r="C15" s="7">
        <f>Допущения!$D$23</f>
        <v/>
      </c>
      <c r="D15" s="7">
        <f>Допущения!$D$23</f>
        <v/>
      </c>
      <c r="E15" s="7">
        <f>Допущения!$D$23</f>
        <v/>
      </c>
      <c r="F15" s="7">
        <f>Допущения!$D$23</f>
        <v/>
      </c>
      <c r="G15" s="7">
        <f>Допущения!$D$23</f>
        <v/>
      </c>
      <c r="H15" s="7">
        <f>Допущения!$D$23</f>
        <v/>
      </c>
      <c r="I15" s="7">
        <f>Допущения!$D$23</f>
        <v/>
      </c>
      <c r="J15" s="7">
        <f>Допущения!$D$23</f>
        <v/>
      </c>
      <c r="K15" s="7">
        <f>Допущения!$D$23</f>
        <v/>
      </c>
      <c r="L15" s="7">
        <f>Допущения!$D$23</f>
        <v/>
      </c>
      <c r="M15" s="7">
        <f>Допущения!$D$23</f>
        <v/>
      </c>
      <c r="N15" s="7">
        <f>Допущения!$D$23</f>
        <v/>
      </c>
      <c r="O15" s="7">
        <f>Допущения!$D$23</f>
        <v/>
      </c>
      <c r="P15" s="7">
        <f>Допущения!$D$23</f>
        <v/>
      </c>
      <c r="Q15" s="7">
        <f>Допущения!$D$23</f>
        <v/>
      </c>
      <c r="R15" s="7">
        <f>Допущения!$D$23</f>
        <v/>
      </c>
      <c r="S15" s="7">
        <f>Допущения!$D$23</f>
        <v/>
      </c>
      <c r="T15" s="7">
        <f>Допущения!$D$23</f>
        <v/>
      </c>
      <c r="U15" s="7">
        <f>Допущения!$D$23</f>
        <v/>
      </c>
      <c r="V15" s="7">
        <f>Допущения!$D$23</f>
        <v/>
      </c>
      <c r="W15" s="7">
        <f>Допущения!$D$23</f>
        <v/>
      </c>
      <c r="X15" s="7">
        <f>Допущения!$D$23</f>
        <v/>
      </c>
      <c r="Y15" s="7">
        <f>Допущения!$D$23</f>
        <v/>
      </c>
    </row>
    <row r="16">
      <c r="A16" s="17" t="inlineStr">
        <is>
          <t>Yandex.Cloud</t>
        </is>
      </c>
      <c r="B16" s="7">
        <f>Допущения!$D$24+B10*Допущения!$D$28</f>
        <v/>
      </c>
      <c r="C16" s="7">
        <f>Допущения!$D$24+C10*Допущения!$D$28</f>
        <v/>
      </c>
      <c r="D16" s="7">
        <f>Допущения!$D$24+D10*Допущения!$D$28</f>
        <v/>
      </c>
      <c r="E16" s="7">
        <f>Допущения!$D$24+E10*Допущения!$D$28</f>
        <v/>
      </c>
      <c r="F16" s="7">
        <f>Допущения!$D$24+F10*Допущения!$D$28</f>
        <v/>
      </c>
      <c r="G16" s="7">
        <f>Допущения!$D$24+G10*Допущения!$D$28</f>
        <v/>
      </c>
      <c r="H16" s="7">
        <f>Допущения!$D$24+H10*Допущения!$D$28</f>
        <v/>
      </c>
      <c r="I16" s="7">
        <f>Допущения!$D$24+I10*Допущения!$D$28</f>
        <v/>
      </c>
      <c r="J16" s="7">
        <f>Допущения!$D$24+J10*Допущения!$D$28</f>
        <v/>
      </c>
      <c r="K16" s="7">
        <f>Допущения!$D$24+K10*Допущения!$D$28</f>
        <v/>
      </c>
      <c r="L16" s="7">
        <f>Допущения!$D$24+L10*Допущения!$D$28</f>
        <v/>
      </c>
      <c r="M16" s="7">
        <f>Допущения!$D$24+M10*Допущения!$D$28</f>
        <v/>
      </c>
      <c r="N16" s="7">
        <f>Допущения!$D$24+N10*Допущения!$D$28</f>
        <v/>
      </c>
      <c r="O16" s="7">
        <f>Допущения!$D$24+O10*Допущения!$D$28</f>
        <v/>
      </c>
      <c r="P16" s="7">
        <f>Допущения!$D$24+P10*Допущения!$D$28</f>
        <v/>
      </c>
      <c r="Q16" s="7">
        <f>Допущения!$D$24+Q10*Допущения!$D$28</f>
        <v/>
      </c>
      <c r="R16" s="7">
        <f>Допущения!$D$24+R10*Допущения!$D$28</f>
        <v/>
      </c>
      <c r="S16" s="7">
        <f>Допущения!$D$24+S10*Допущения!$D$28</f>
        <v/>
      </c>
      <c r="T16" s="7">
        <f>Допущения!$D$24+T10*Допущения!$D$28</f>
        <v/>
      </c>
      <c r="U16" s="7">
        <f>Допущения!$D$24+U10*Допущения!$D$28</f>
        <v/>
      </c>
      <c r="V16" s="7">
        <f>Допущения!$D$24+V10*Допущения!$D$28</f>
        <v/>
      </c>
      <c r="W16" s="7">
        <f>Допущения!$D$24+W10*Допущения!$D$28</f>
        <v/>
      </c>
      <c r="X16" s="7">
        <f>Допущения!$D$24+X10*Допущения!$D$28</f>
        <v/>
      </c>
      <c r="Y16" s="7">
        <f>Допущения!$D$24+Y10*Допущения!$D$28</f>
        <v/>
      </c>
      <c r="Z16" s="8" t="inlineStr">
        <is>
          <t>Счёт облака плюс переменная часть на каждого платящего подписчика.</t>
        </is>
      </c>
    </row>
    <row r="17">
      <c r="A17" s="17" t="inlineStr">
        <is>
          <t>Claude (разработка)</t>
        </is>
      </c>
      <c r="B17" s="7">
        <f>Допущения!$D$25</f>
        <v/>
      </c>
      <c r="C17" s="7">
        <f>Допущения!$D$25</f>
        <v/>
      </c>
      <c r="D17" s="7">
        <f>Допущения!$D$25</f>
        <v/>
      </c>
      <c r="E17" s="7">
        <f>Допущения!$D$25</f>
        <v/>
      </c>
      <c r="F17" s="7">
        <f>Допущения!$D$25</f>
        <v/>
      </c>
      <c r="G17" s="7">
        <f>Допущения!$D$25</f>
        <v/>
      </c>
      <c r="H17" s="7">
        <f>Допущения!$D$25</f>
        <v/>
      </c>
      <c r="I17" s="7">
        <f>Допущения!$D$25</f>
        <v/>
      </c>
      <c r="J17" s="7">
        <f>Допущения!$D$25</f>
        <v/>
      </c>
      <c r="K17" s="7">
        <f>Допущения!$D$25</f>
        <v/>
      </c>
      <c r="L17" s="7">
        <f>Допущения!$D$25</f>
        <v/>
      </c>
      <c r="M17" s="7">
        <f>Допущения!$D$25</f>
        <v/>
      </c>
      <c r="N17" s="7">
        <f>Допущения!$D$25</f>
        <v/>
      </c>
      <c r="O17" s="7">
        <f>Допущения!$D$25</f>
        <v/>
      </c>
      <c r="P17" s="7">
        <f>Допущения!$D$25</f>
        <v/>
      </c>
      <c r="Q17" s="7">
        <f>Допущения!$D$25</f>
        <v/>
      </c>
      <c r="R17" s="7">
        <f>Допущения!$D$25</f>
        <v/>
      </c>
      <c r="S17" s="7">
        <f>Допущения!$D$25</f>
        <v/>
      </c>
      <c r="T17" s="7">
        <f>Допущения!$D$25</f>
        <v/>
      </c>
      <c r="U17" s="7">
        <f>Допущения!$D$25</f>
        <v/>
      </c>
      <c r="V17" s="7">
        <f>Допущения!$D$25</f>
        <v/>
      </c>
      <c r="W17" s="7">
        <f>Допущения!$D$25</f>
        <v/>
      </c>
      <c r="X17" s="7">
        <f>Допущения!$D$25</f>
        <v/>
      </c>
      <c r="Y17" s="7">
        <f>Допущения!$D$25</f>
        <v/>
      </c>
    </row>
    <row r="18">
      <c r="A18" s="17" t="inlineStr">
        <is>
          <t>API-ФНС</t>
        </is>
      </c>
      <c r="B18" s="7">
        <f>Допущения!$D$30</f>
        <v/>
      </c>
      <c r="C18" s="7">
        <f>Допущения!$D$30</f>
        <v/>
      </c>
      <c r="D18" s="7">
        <f>Допущения!$D$30</f>
        <v/>
      </c>
      <c r="E18" s="7">
        <f>Допущения!$D$30</f>
        <v/>
      </c>
      <c r="F18" s="7">
        <f>Допущения!$D$30</f>
        <v/>
      </c>
      <c r="G18" s="7">
        <f>Допущения!$D$30</f>
        <v/>
      </c>
      <c r="H18" s="7">
        <f>Допущения!$D$30</f>
        <v/>
      </c>
      <c r="I18" s="7">
        <f>Допущения!$D$30</f>
        <v/>
      </c>
      <c r="J18" s="7">
        <f>Допущения!$D$30</f>
        <v/>
      </c>
      <c r="K18" s="7">
        <f>Допущения!$D$30</f>
        <v/>
      </c>
      <c r="L18" s="7">
        <f>Допущения!$D$30</f>
        <v/>
      </c>
      <c r="M18" s="7">
        <f>Допущения!$D$30</f>
        <v/>
      </c>
      <c r="N18" s="7">
        <f>Допущения!$D$30</f>
        <v/>
      </c>
      <c r="O18" s="7">
        <f>Допущения!$D$30</f>
        <v/>
      </c>
      <c r="P18" s="7">
        <f>Допущения!$D$30</f>
        <v/>
      </c>
      <c r="Q18" s="7">
        <f>Допущения!$D$30</f>
        <v/>
      </c>
      <c r="R18" s="7">
        <f>Допущения!$D$30</f>
        <v/>
      </c>
      <c r="S18" s="7">
        <f>Допущения!$D$30</f>
        <v/>
      </c>
      <c r="T18" s="7">
        <f>Допущения!$D$30</f>
        <v/>
      </c>
      <c r="U18" s="7">
        <f>Допущения!$D$30</f>
        <v/>
      </c>
      <c r="V18" s="7">
        <f>Допущения!$D$30</f>
        <v/>
      </c>
      <c r="W18" s="7">
        <f>Допущения!$D$30</f>
        <v/>
      </c>
      <c r="X18" s="7">
        <f>Допущения!$D$30</f>
        <v/>
      </c>
      <c r="Y18" s="7">
        <f>Допущения!$D$30</f>
        <v/>
      </c>
    </row>
    <row r="19">
      <c r="A19" s="17" t="inlineStr">
        <is>
          <t>Онлайн-касса и чеки (54-ФЗ)</t>
        </is>
      </c>
      <c r="B19" s="7">
        <f>Допущения!$D$31</f>
        <v/>
      </c>
      <c r="C19" s="7">
        <f>Допущения!$D$31</f>
        <v/>
      </c>
      <c r="D19" s="7">
        <f>Допущения!$D$31</f>
        <v/>
      </c>
      <c r="E19" s="7">
        <f>Допущения!$D$31</f>
        <v/>
      </c>
      <c r="F19" s="7">
        <f>Допущения!$D$31</f>
        <v/>
      </c>
      <c r="G19" s="7">
        <f>Допущения!$D$31</f>
        <v/>
      </c>
      <c r="H19" s="7">
        <f>Допущения!$D$31</f>
        <v/>
      </c>
      <c r="I19" s="7">
        <f>Допущения!$D$31</f>
        <v/>
      </c>
      <c r="J19" s="7">
        <f>Допущения!$D$31</f>
        <v/>
      </c>
      <c r="K19" s="7">
        <f>Допущения!$D$31</f>
        <v/>
      </c>
      <c r="L19" s="7">
        <f>Допущения!$D$31</f>
        <v/>
      </c>
      <c r="M19" s="7">
        <f>Допущения!$D$31</f>
        <v/>
      </c>
      <c r="N19" s="7">
        <f>Допущения!$D$31</f>
        <v/>
      </c>
      <c r="O19" s="7">
        <f>Допущения!$D$31</f>
        <v/>
      </c>
      <c r="P19" s="7">
        <f>Допущения!$D$31</f>
        <v/>
      </c>
      <c r="Q19" s="7">
        <f>Допущения!$D$31</f>
        <v/>
      </c>
      <c r="R19" s="7">
        <f>Допущения!$D$31</f>
        <v/>
      </c>
      <c r="S19" s="7">
        <f>Допущения!$D$31</f>
        <v/>
      </c>
      <c r="T19" s="7">
        <f>Допущения!$D$31</f>
        <v/>
      </c>
      <c r="U19" s="7">
        <f>Допущения!$D$31</f>
        <v/>
      </c>
      <c r="V19" s="7">
        <f>Допущения!$D$31</f>
        <v/>
      </c>
      <c r="W19" s="7">
        <f>Допущения!$D$31</f>
        <v/>
      </c>
      <c r="X19" s="7">
        <f>Допущения!$D$31</f>
        <v/>
      </c>
      <c r="Y19" s="7">
        <f>Допущения!$D$31</f>
        <v/>
      </c>
      <c r="Z19" s="8" t="inlineStr">
        <is>
          <t>Статья, которой не было бы при продаже компаниям по счёту.</t>
        </is>
      </c>
    </row>
    <row r="20">
      <c r="A20" s="17" t="inlineStr">
        <is>
          <t>Бухгалтерия</t>
        </is>
      </c>
      <c r="B20" s="7">
        <f>Допущения!$D$32</f>
        <v/>
      </c>
      <c r="C20" s="7">
        <f>Допущения!$D$32</f>
        <v/>
      </c>
      <c r="D20" s="7">
        <f>Допущения!$D$32</f>
        <v/>
      </c>
      <c r="E20" s="7">
        <f>Допущения!$D$32</f>
        <v/>
      </c>
      <c r="F20" s="7">
        <f>Допущения!$D$32</f>
        <v/>
      </c>
      <c r="G20" s="7">
        <f>Допущения!$D$32</f>
        <v/>
      </c>
      <c r="H20" s="7">
        <f>Допущения!$D$32</f>
        <v/>
      </c>
      <c r="I20" s="7">
        <f>Допущения!$D$32</f>
        <v/>
      </c>
      <c r="J20" s="7">
        <f>Допущения!$D$32</f>
        <v/>
      </c>
      <c r="K20" s="7">
        <f>Допущения!$D$32</f>
        <v/>
      </c>
      <c r="L20" s="7">
        <f>Допущения!$D$32</f>
        <v/>
      </c>
      <c r="M20" s="7">
        <f>Допущения!$D$32</f>
        <v/>
      </c>
      <c r="N20" s="7">
        <f>Допущения!$D$32</f>
        <v/>
      </c>
      <c r="O20" s="7">
        <f>Допущения!$D$32</f>
        <v/>
      </c>
      <c r="P20" s="7">
        <f>Допущения!$D$32</f>
        <v/>
      </c>
      <c r="Q20" s="7">
        <f>Допущения!$D$32</f>
        <v/>
      </c>
      <c r="R20" s="7">
        <f>Допущения!$D$32</f>
        <v/>
      </c>
      <c r="S20" s="7">
        <f>Допущения!$D$32</f>
        <v/>
      </c>
      <c r="T20" s="7">
        <f>Допущения!$D$32</f>
        <v/>
      </c>
      <c r="U20" s="7">
        <f>Допущения!$D$32</f>
        <v/>
      </c>
      <c r="V20" s="7">
        <f>Допущения!$D$32</f>
        <v/>
      </c>
      <c r="W20" s="7">
        <f>Допущения!$D$32</f>
        <v/>
      </c>
      <c r="X20" s="7">
        <f>Допущения!$D$32</f>
        <v/>
      </c>
      <c r="Y20" s="7">
        <f>Допущения!$D$32</f>
        <v/>
      </c>
    </row>
    <row r="21">
      <c r="A21" s="17" t="inlineStr">
        <is>
          <t>Регистратор Р.О.С.Т. (АО)</t>
        </is>
      </c>
      <c r="B21" s="7">
        <f>Допущения!$D$26</f>
        <v/>
      </c>
      <c r="C21" s="7">
        <f>Допущения!$D$26</f>
        <v/>
      </c>
      <c r="D21" s="7">
        <f>Допущения!$D$26</f>
        <v/>
      </c>
      <c r="E21" s="7">
        <f>Допущения!$D$26</f>
        <v/>
      </c>
      <c r="F21" s="7">
        <f>Допущения!$D$26</f>
        <v/>
      </c>
      <c r="G21" s="7">
        <f>Допущения!$D$26</f>
        <v/>
      </c>
      <c r="H21" s="7">
        <f>Допущения!$D$26</f>
        <v/>
      </c>
      <c r="I21" s="7">
        <f>Допущения!$D$26</f>
        <v/>
      </c>
      <c r="J21" s="7">
        <f>Допущения!$D$26</f>
        <v/>
      </c>
      <c r="K21" s="7">
        <f>Допущения!$D$26</f>
        <v/>
      </c>
      <c r="L21" s="7">
        <f>Допущения!$D$26</f>
        <v/>
      </c>
      <c r="M21" s="7">
        <f>Допущения!$D$26</f>
        <v/>
      </c>
      <c r="N21" s="7">
        <f>Допущения!$D$26</f>
        <v/>
      </c>
      <c r="O21" s="7">
        <f>Допущения!$D$26</f>
        <v/>
      </c>
      <c r="P21" s="7">
        <f>Допущения!$D$26</f>
        <v/>
      </c>
      <c r="Q21" s="7">
        <f>Допущения!$D$26</f>
        <v/>
      </c>
      <c r="R21" s="7">
        <f>Допущения!$D$26</f>
        <v/>
      </c>
      <c r="S21" s="7">
        <f>Допущения!$D$26</f>
        <v/>
      </c>
      <c r="T21" s="7">
        <f>Допущения!$D$26</f>
        <v/>
      </c>
      <c r="U21" s="7">
        <f>Допущения!$D$26</f>
        <v/>
      </c>
      <c r="V21" s="7">
        <f>Допущения!$D$26</f>
        <v/>
      </c>
      <c r="W21" s="7">
        <f>Допущения!$D$26</f>
        <v/>
      </c>
      <c r="X21" s="7">
        <f>Допущения!$D$26</f>
        <v/>
      </c>
      <c r="Y21" s="7">
        <f>Допущения!$D$26</f>
        <v/>
      </c>
    </row>
    <row r="22">
      <c r="A22" s="17" t="inlineStr">
        <is>
          <t>Аренда офиса</t>
        </is>
      </c>
      <c r="B22" s="7">
        <f>Допущения!$D$27</f>
        <v/>
      </c>
      <c r="C22" s="7">
        <f>Допущения!$D$27</f>
        <v/>
      </c>
      <c r="D22" s="7">
        <f>Допущения!$D$27</f>
        <v/>
      </c>
      <c r="E22" s="7">
        <f>Допущения!$D$27</f>
        <v/>
      </c>
      <c r="F22" s="7">
        <f>Допущения!$D$27</f>
        <v/>
      </c>
      <c r="G22" s="7">
        <f>Допущения!$D$27</f>
        <v/>
      </c>
      <c r="H22" s="7">
        <f>Допущения!$D$27</f>
        <v/>
      </c>
      <c r="I22" s="7">
        <f>Допущения!$D$27</f>
        <v/>
      </c>
      <c r="J22" s="7">
        <f>Допущения!$D$27</f>
        <v/>
      </c>
      <c r="K22" s="7">
        <f>Допущения!$D$27</f>
        <v/>
      </c>
      <c r="L22" s="7">
        <f>Допущения!$D$27</f>
        <v/>
      </c>
      <c r="M22" s="7">
        <f>Допущения!$D$27</f>
        <v/>
      </c>
      <c r="N22" s="7">
        <f>Допущения!$D$27</f>
        <v/>
      </c>
      <c r="O22" s="7">
        <f>Допущения!$D$27</f>
        <v/>
      </c>
      <c r="P22" s="7">
        <f>Допущения!$D$27</f>
        <v/>
      </c>
      <c r="Q22" s="7">
        <f>Допущения!$D$27</f>
        <v/>
      </c>
      <c r="R22" s="7">
        <f>Допущения!$D$27</f>
        <v/>
      </c>
      <c r="S22" s="7">
        <f>Допущения!$D$27</f>
        <v/>
      </c>
      <c r="T22" s="7">
        <f>Допущения!$D$27</f>
        <v/>
      </c>
      <c r="U22" s="7">
        <f>Допущения!$D$27</f>
        <v/>
      </c>
      <c r="V22" s="7">
        <f>Допущения!$D$27</f>
        <v/>
      </c>
      <c r="W22" s="7">
        <f>Допущения!$D$27</f>
        <v/>
      </c>
      <c r="X22" s="7">
        <f>Допущения!$D$27</f>
        <v/>
      </c>
      <c r="Y22" s="7">
        <f>Допущения!$D$27</f>
        <v/>
      </c>
    </row>
    <row r="23">
      <c r="A23" s="17" t="inlineStr">
        <is>
          <t>Юрист и товарный знак</t>
        </is>
      </c>
      <c r="B23" s="7">
        <f>Допущения!$D$33</f>
        <v/>
      </c>
      <c r="C23" s="7">
        <f>Допущения!$D$33</f>
        <v/>
      </c>
      <c r="D23" s="7">
        <f>Допущения!$D$33</f>
        <v/>
      </c>
      <c r="E23" s="7">
        <f>Допущения!$D$33</f>
        <v/>
      </c>
      <c r="F23" s="7">
        <f>Допущения!$D$33</f>
        <v/>
      </c>
      <c r="G23" s="7">
        <f>Допущения!$D$33</f>
        <v/>
      </c>
      <c r="H23" s="7">
        <f>Допущения!$D$33</f>
        <v/>
      </c>
      <c r="I23" s="7">
        <f>Допущения!$D$33</f>
        <v/>
      </c>
      <c r="J23" s="7">
        <f>Допущения!$D$33</f>
        <v/>
      </c>
      <c r="K23" s="7">
        <f>Допущения!$D$33</f>
        <v/>
      </c>
      <c r="L23" s="7">
        <f>Допущения!$D$33</f>
        <v/>
      </c>
      <c r="M23" s="7">
        <f>Допущения!$D$33</f>
        <v/>
      </c>
      <c r="N23" s="7">
        <f>Допущения!$D$33</f>
        <v/>
      </c>
      <c r="O23" s="7">
        <f>Допущения!$D$33</f>
        <v/>
      </c>
      <c r="P23" s="7">
        <f>Допущения!$D$33</f>
        <v/>
      </c>
      <c r="Q23" s="7">
        <f>Допущения!$D$33</f>
        <v/>
      </c>
      <c r="R23" s="7">
        <f>Допущения!$D$33</f>
        <v/>
      </c>
      <c r="S23" s="7">
        <f>Допущения!$D$33</f>
        <v/>
      </c>
      <c r="T23" s="7">
        <f>Допущения!$D$33</f>
        <v/>
      </c>
      <c r="U23" s="7">
        <f>Допущения!$D$33</f>
        <v/>
      </c>
      <c r="V23" s="7">
        <f>Допущения!$D$33</f>
        <v/>
      </c>
      <c r="W23" s="7">
        <f>Допущения!$D$33</f>
        <v/>
      </c>
      <c r="X23" s="7">
        <f>Допущения!$D$33</f>
        <v/>
      </c>
      <c r="Y23" s="7">
        <f>Допущения!$D$33</f>
        <v/>
      </c>
    </row>
    <row r="24">
      <c r="A24" s="17" t="inlineStr">
        <is>
          <t>Платное продвижение</t>
        </is>
      </c>
      <c r="B24" s="7">
        <f>Допущения!$D$34</f>
        <v/>
      </c>
      <c r="C24" s="7">
        <f>Допущения!$D$34</f>
        <v/>
      </c>
      <c r="D24" s="7">
        <f>Допущения!$D$34</f>
        <v/>
      </c>
      <c r="E24" s="7">
        <f>Допущения!$D$34</f>
        <v/>
      </c>
      <c r="F24" s="7">
        <f>Допущения!$D$34</f>
        <v/>
      </c>
      <c r="G24" s="7">
        <f>Допущения!$D$34</f>
        <v/>
      </c>
      <c r="H24" s="7">
        <f>Допущения!$D$34</f>
        <v/>
      </c>
      <c r="I24" s="7">
        <f>Допущения!$D$34</f>
        <v/>
      </c>
      <c r="J24" s="7">
        <f>Допущения!$D$34</f>
        <v/>
      </c>
      <c r="K24" s="7">
        <f>Допущения!$D$34</f>
        <v/>
      </c>
      <c r="L24" s="7">
        <f>Допущения!$D$34</f>
        <v/>
      </c>
      <c r="M24" s="7">
        <f>Допущения!$D$34</f>
        <v/>
      </c>
      <c r="N24" s="7">
        <f>Допущения!$D$34</f>
        <v/>
      </c>
      <c r="O24" s="7">
        <f>Допущения!$D$34</f>
        <v/>
      </c>
      <c r="P24" s="7">
        <f>Допущения!$D$34</f>
        <v/>
      </c>
      <c r="Q24" s="7">
        <f>Допущения!$D$34</f>
        <v/>
      </c>
      <c r="R24" s="7">
        <f>Допущения!$D$34</f>
        <v/>
      </c>
      <c r="S24" s="7">
        <f>Допущения!$D$34</f>
        <v/>
      </c>
      <c r="T24" s="7">
        <f>Допущения!$D$34</f>
        <v/>
      </c>
      <c r="U24" s="7">
        <f>Допущения!$D$34</f>
        <v/>
      </c>
      <c r="V24" s="7">
        <f>Допущения!$D$34</f>
        <v/>
      </c>
      <c r="W24" s="7">
        <f>Допущения!$D$34</f>
        <v/>
      </c>
      <c r="X24" s="7">
        <f>Допущения!$D$34</f>
        <v/>
      </c>
      <c r="Y24" s="7">
        <f>Допущения!$D$34</f>
        <v/>
      </c>
    </row>
    <row r="25">
      <c r="A25" s="17" t="inlineStr">
        <is>
          <t>Прочее</t>
        </is>
      </c>
      <c r="B25" s="7">
        <f>Допущения!$D$35</f>
        <v/>
      </c>
      <c r="C25" s="7">
        <f>Допущения!$D$35</f>
        <v/>
      </c>
      <c r="D25" s="7">
        <f>Допущения!$D$35</f>
        <v/>
      </c>
      <c r="E25" s="7">
        <f>Допущения!$D$35</f>
        <v/>
      </c>
      <c r="F25" s="7">
        <f>Допущения!$D$35</f>
        <v/>
      </c>
      <c r="G25" s="7">
        <f>Допущения!$D$35</f>
        <v/>
      </c>
      <c r="H25" s="7">
        <f>Допущения!$D$35</f>
        <v/>
      </c>
      <c r="I25" s="7">
        <f>Допущения!$D$35</f>
        <v/>
      </c>
      <c r="J25" s="7">
        <f>Допущения!$D$35</f>
        <v/>
      </c>
      <c r="K25" s="7">
        <f>Допущения!$D$35</f>
        <v/>
      </c>
      <c r="L25" s="7">
        <f>Допущения!$D$35</f>
        <v/>
      </c>
      <c r="M25" s="7">
        <f>Допущения!$D$35</f>
        <v/>
      </c>
      <c r="N25" s="7">
        <f>Допущения!$D$35</f>
        <v/>
      </c>
      <c r="O25" s="7">
        <f>Допущения!$D$35</f>
        <v/>
      </c>
      <c r="P25" s="7">
        <f>Допущения!$D$35</f>
        <v/>
      </c>
      <c r="Q25" s="7">
        <f>Допущения!$D$35</f>
        <v/>
      </c>
      <c r="R25" s="7">
        <f>Допущения!$D$35</f>
        <v/>
      </c>
      <c r="S25" s="7">
        <f>Допущения!$D$35</f>
        <v/>
      </c>
      <c r="T25" s="7">
        <f>Допущения!$D$35</f>
        <v/>
      </c>
      <c r="U25" s="7">
        <f>Допущения!$D$35</f>
        <v/>
      </c>
      <c r="V25" s="7">
        <f>Допущения!$D$35</f>
        <v/>
      </c>
      <c r="W25" s="7">
        <f>Допущения!$D$35</f>
        <v/>
      </c>
      <c r="X25" s="7">
        <f>Допущения!$D$35</f>
        <v/>
      </c>
      <c r="Y25" s="7">
        <f>Допущения!$D$35</f>
        <v/>
      </c>
    </row>
    <row r="26">
      <c r="A26" s="17" t="inlineStr">
        <is>
          <t>Комиссия за приём платежей</t>
        </is>
      </c>
      <c r="B26" s="7">
        <f>B13*Допущения!$D$50</f>
        <v/>
      </c>
      <c r="C26" s="7">
        <f>C13*Допущения!$D$50</f>
        <v/>
      </c>
      <c r="D26" s="7">
        <f>D13*Допущения!$D$50</f>
        <v/>
      </c>
      <c r="E26" s="7">
        <f>E13*Допущения!$D$50</f>
        <v/>
      </c>
      <c r="F26" s="7">
        <f>F13*Допущения!$D$50</f>
        <v/>
      </c>
      <c r="G26" s="7">
        <f>G13*Допущения!$D$50</f>
        <v/>
      </c>
      <c r="H26" s="7">
        <f>H13*Допущения!$D$50</f>
        <v/>
      </c>
      <c r="I26" s="7">
        <f>I13*Допущения!$D$50</f>
        <v/>
      </c>
      <c r="J26" s="7">
        <f>J13*Допущения!$D$50</f>
        <v/>
      </c>
      <c r="K26" s="7">
        <f>K13*Допущения!$D$50</f>
        <v/>
      </c>
      <c r="L26" s="7">
        <f>L13*Допущения!$D$50</f>
        <v/>
      </c>
      <c r="M26" s="7">
        <f>M13*Допущения!$D$50</f>
        <v/>
      </c>
      <c r="N26" s="7">
        <f>N13*Допущения!$D$50</f>
        <v/>
      </c>
      <c r="O26" s="7">
        <f>O13*Допущения!$D$50</f>
        <v/>
      </c>
      <c r="P26" s="7">
        <f>P13*Допущения!$D$50</f>
        <v/>
      </c>
      <c r="Q26" s="7">
        <f>Q13*Допущения!$D$50</f>
        <v/>
      </c>
      <c r="R26" s="7">
        <f>R13*Допущения!$D$50</f>
        <v/>
      </c>
      <c r="S26" s="7">
        <f>S13*Допущения!$D$50</f>
        <v/>
      </c>
      <c r="T26" s="7">
        <f>T13*Допущения!$D$50</f>
        <v/>
      </c>
      <c r="U26" s="7">
        <f>U13*Допущения!$D$50</f>
        <v/>
      </c>
      <c r="V26" s="7">
        <f>V13*Допущения!$D$50</f>
        <v/>
      </c>
      <c r="W26" s="7">
        <f>W13*Допущения!$D$50</f>
        <v/>
      </c>
      <c r="X26" s="7">
        <f>X13*Допущения!$D$50</f>
        <v/>
      </c>
      <c r="Y26" s="7">
        <f>Y13*Допущения!$D$50</f>
        <v/>
      </c>
    </row>
    <row r="27">
      <c r="A27" s="17" t="inlineStr">
        <is>
          <t>Возвраты</t>
        </is>
      </c>
      <c r="B27" s="7">
        <f>B12*Допущения!$D$13</f>
        <v/>
      </c>
      <c r="C27" s="7">
        <f>C12*Допущения!$D$13</f>
        <v/>
      </c>
      <c r="D27" s="7">
        <f>D12*Допущения!$D$13</f>
        <v/>
      </c>
      <c r="E27" s="7">
        <f>E12*Допущения!$D$13</f>
        <v/>
      </c>
      <c r="F27" s="7">
        <f>F12*Допущения!$D$13</f>
        <v/>
      </c>
      <c r="G27" s="7">
        <f>G12*Допущения!$D$13</f>
        <v/>
      </c>
      <c r="H27" s="7">
        <f>H12*Допущения!$D$13</f>
        <v/>
      </c>
      <c r="I27" s="7">
        <f>I12*Допущения!$D$13</f>
        <v/>
      </c>
      <c r="J27" s="7">
        <f>J12*Допущения!$D$13</f>
        <v/>
      </c>
      <c r="K27" s="7">
        <f>K12*Допущения!$D$13</f>
        <v/>
      </c>
      <c r="L27" s="7">
        <f>L12*Допущения!$D$13</f>
        <v/>
      </c>
      <c r="M27" s="7">
        <f>M12*Допущения!$D$13</f>
        <v/>
      </c>
      <c r="N27" s="7">
        <f>N12*Допущения!$D$13</f>
        <v/>
      </c>
      <c r="O27" s="7">
        <f>O12*Допущения!$D$13</f>
        <v/>
      </c>
      <c r="P27" s="7">
        <f>P12*Допущения!$D$13</f>
        <v/>
      </c>
      <c r="Q27" s="7">
        <f>Q12*Допущения!$D$13</f>
        <v/>
      </c>
      <c r="R27" s="7">
        <f>R12*Допущения!$D$13</f>
        <v/>
      </c>
      <c r="S27" s="7">
        <f>S12*Допущения!$D$13</f>
        <v/>
      </c>
      <c r="T27" s="7">
        <f>T12*Допущения!$D$13</f>
        <v/>
      </c>
      <c r="U27" s="7">
        <f>U12*Допущения!$D$13</f>
        <v/>
      </c>
      <c r="V27" s="7">
        <f>V12*Допущения!$D$13</f>
        <v/>
      </c>
      <c r="W27" s="7">
        <f>W12*Допущения!$D$13</f>
        <v/>
      </c>
      <c r="X27" s="7">
        <f>X12*Допущения!$D$13</f>
        <v/>
      </c>
      <c r="Y27" s="7">
        <f>Y12*Допущения!$D$13</f>
        <v/>
      </c>
      <c r="Z27" s="8" t="inlineStr">
        <is>
          <t>Право физлица отказаться от неиспользованного периода.</t>
        </is>
      </c>
    </row>
    <row r="28">
      <c r="A28" s="17" t="inlineStr">
        <is>
          <t>Зарплата гендиректора</t>
        </is>
      </c>
      <c r="B28" s="7">
        <f>Допущения!$D$37</f>
        <v/>
      </c>
      <c r="C28" s="7">
        <f>Допущения!$D$37</f>
        <v/>
      </c>
      <c r="D28" s="7">
        <f>Допущения!$D$37</f>
        <v/>
      </c>
      <c r="E28" s="7">
        <f>Допущения!$D$37</f>
        <v/>
      </c>
      <c r="F28" s="7">
        <f>Допущения!$D$37</f>
        <v/>
      </c>
      <c r="G28" s="7">
        <f>Допущения!$D$37</f>
        <v/>
      </c>
      <c r="H28" s="7">
        <f>Допущения!$D$37</f>
        <v/>
      </c>
      <c r="I28" s="7">
        <f>Допущения!$D$37</f>
        <v/>
      </c>
      <c r="J28" s="7">
        <f>Допущения!$D$37</f>
        <v/>
      </c>
      <c r="K28" s="7">
        <f>Допущения!$D$37</f>
        <v/>
      </c>
      <c r="L28" s="7">
        <f>Допущения!$D$37</f>
        <v/>
      </c>
      <c r="M28" s="7">
        <f>Допущения!$D$37</f>
        <v/>
      </c>
      <c r="N28" s="7">
        <f>Допущения!$D$37</f>
        <v/>
      </c>
      <c r="O28" s="7">
        <f>Допущения!$D$37</f>
        <v/>
      </c>
      <c r="P28" s="7">
        <f>Допущения!$D$37</f>
        <v/>
      </c>
      <c r="Q28" s="7">
        <f>Допущения!$D$37</f>
        <v/>
      </c>
      <c r="R28" s="7">
        <f>Допущения!$D$37</f>
        <v/>
      </c>
      <c r="S28" s="7">
        <f>Допущения!$D$37</f>
        <v/>
      </c>
      <c r="T28" s="7">
        <f>Допущения!$D$37</f>
        <v/>
      </c>
      <c r="U28" s="7">
        <f>Допущения!$D$37</f>
        <v/>
      </c>
      <c r="V28" s="7">
        <f>Допущения!$D$37</f>
        <v/>
      </c>
      <c r="W28" s="7">
        <f>Допущения!$D$37</f>
        <v/>
      </c>
      <c r="X28" s="7">
        <f>Допущения!$D$37</f>
        <v/>
      </c>
      <c r="Y28" s="7">
        <f>Допущения!$D$37</f>
        <v/>
      </c>
    </row>
    <row r="29">
      <c r="A29" s="17" t="inlineStr">
        <is>
          <t>Команда на подряде</t>
        </is>
      </c>
      <c r="B29" s="7">
        <f>Допущения!$D$38</f>
        <v/>
      </c>
      <c r="C29" s="7">
        <f>Допущения!$D$38</f>
        <v/>
      </c>
      <c r="D29" s="7">
        <f>Допущения!$D$38</f>
        <v/>
      </c>
      <c r="E29" s="7">
        <f>Допущения!$D$38</f>
        <v/>
      </c>
      <c r="F29" s="7">
        <f>Допущения!$D$38</f>
        <v/>
      </c>
      <c r="G29" s="7">
        <f>Допущения!$D$38</f>
        <v/>
      </c>
      <c r="H29" s="7">
        <f>Допущения!$D$38</f>
        <v/>
      </c>
      <c r="I29" s="7">
        <f>Допущения!$D$38</f>
        <v/>
      </c>
      <c r="J29" s="7">
        <f>Допущения!$D$38</f>
        <v/>
      </c>
      <c r="K29" s="7">
        <f>Допущения!$D$38</f>
        <v/>
      </c>
      <c r="L29" s="7">
        <f>Допущения!$D$38</f>
        <v/>
      </c>
      <c r="M29" s="7">
        <f>Допущения!$D$38</f>
        <v/>
      </c>
      <c r="N29" s="7">
        <f>Допущения!$D$38</f>
        <v/>
      </c>
      <c r="O29" s="7">
        <f>Допущения!$D$38</f>
        <v/>
      </c>
      <c r="P29" s="7">
        <f>Допущения!$D$38</f>
        <v/>
      </c>
      <c r="Q29" s="7">
        <f>Допущения!$D$38</f>
        <v/>
      </c>
      <c r="R29" s="7">
        <f>Допущения!$D$38</f>
        <v/>
      </c>
      <c r="S29" s="7">
        <f>Допущения!$D$38</f>
        <v/>
      </c>
      <c r="T29" s="7">
        <f>Допущения!$D$38</f>
        <v/>
      </c>
      <c r="U29" s="7">
        <f>Допущения!$D$38</f>
        <v/>
      </c>
      <c r="V29" s="7">
        <f>Допущения!$D$38</f>
        <v/>
      </c>
      <c r="W29" s="7">
        <f>Допущения!$D$38</f>
        <v/>
      </c>
      <c r="X29" s="7">
        <f>Допущения!$D$38</f>
        <v/>
      </c>
      <c r="Y29" s="7">
        <f>Допущения!$D$38</f>
        <v/>
      </c>
    </row>
    <row r="30">
      <c r="A30" s="17" t="inlineStr">
        <is>
          <t>Разработчик на аутсорсе</t>
        </is>
      </c>
      <c r="B30" s="7">
        <f>IF(1&lt;=Допущения!$D$39,0,IF(1&lt;=Допущения!$D$41,Допущения!$D$40,Допущения!$D$42))</f>
        <v/>
      </c>
      <c r="C30" s="7">
        <f>IF(2&lt;=Допущения!$D$39,0,IF(2&lt;=Допущения!$D$41,Допущения!$D$40,Допущения!$D$42))</f>
        <v/>
      </c>
      <c r="D30" s="7">
        <f>IF(3&lt;=Допущения!$D$39,0,IF(3&lt;=Допущения!$D$41,Допущения!$D$40,Допущения!$D$42))</f>
        <v/>
      </c>
      <c r="E30" s="7">
        <f>IF(4&lt;=Допущения!$D$39,0,IF(4&lt;=Допущения!$D$41,Допущения!$D$40,Допущения!$D$42))</f>
        <v/>
      </c>
      <c r="F30" s="7">
        <f>IF(5&lt;=Допущения!$D$39,0,IF(5&lt;=Допущения!$D$41,Допущения!$D$40,Допущения!$D$42))</f>
        <v/>
      </c>
      <c r="G30" s="7">
        <f>IF(6&lt;=Допущения!$D$39,0,IF(6&lt;=Допущения!$D$41,Допущения!$D$40,Допущения!$D$42))</f>
        <v/>
      </c>
      <c r="H30" s="7">
        <f>IF(7&lt;=Допущения!$D$39,0,IF(7&lt;=Допущения!$D$41,Допущения!$D$40,Допущения!$D$42))</f>
        <v/>
      </c>
      <c r="I30" s="7">
        <f>IF(8&lt;=Допущения!$D$39,0,IF(8&lt;=Допущения!$D$41,Допущения!$D$40,Допущения!$D$42))</f>
        <v/>
      </c>
      <c r="J30" s="7">
        <f>IF(9&lt;=Допущения!$D$39,0,IF(9&lt;=Допущения!$D$41,Допущения!$D$40,Допущения!$D$42))</f>
        <v/>
      </c>
      <c r="K30" s="7">
        <f>IF(10&lt;=Допущения!$D$39,0,IF(10&lt;=Допущения!$D$41,Допущения!$D$40,Допущения!$D$42))</f>
        <v/>
      </c>
      <c r="L30" s="7">
        <f>IF(11&lt;=Допущения!$D$39,0,IF(11&lt;=Допущения!$D$41,Допущения!$D$40,Допущения!$D$42))</f>
        <v/>
      </c>
      <c r="M30" s="7">
        <f>IF(12&lt;=Допущения!$D$39,0,IF(12&lt;=Допущения!$D$41,Допущения!$D$40,Допущения!$D$42))</f>
        <v/>
      </c>
      <c r="N30" s="7">
        <f>IF(13&lt;=Допущения!$D$39,0,IF(13&lt;=Допущения!$D$41,Допущения!$D$40,Допущения!$D$42))</f>
        <v/>
      </c>
      <c r="O30" s="7">
        <f>IF(14&lt;=Допущения!$D$39,0,IF(14&lt;=Допущения!$D$41,Допущения!$D$40,Допущения!$D$42))</f>
        <v/>
      </c>
      <c r="P30" s="7">
        <f>IF(15&lt;=Допущения!$D$39,0,IF(15&lt;=Допущения!$D$41,Допущения!$D$40,Допущения!$D$42))</f>
        <v/>
      </c>
      <c r="Q30" s="7">
        <f>IF(16&lt;=Допущения!$D$39,0,IF(16&lt;=Допущения!$D$41,Допущения!$D$40,Допущения!$D$42))</f>
        <v/>
      </c>
      <c r="R30" s="7">
        <f>IF(17&lt;=Допущения!$D$39,0,IF(17&lt;=Допущения!$D$41,Допущения!$D$40,Допущения!$D$42))</f>
        <v/>
      </c>
      <c r="S30" s="7">
        <f>IF(18&lt;=Допущения!$D$39,0,IF(18&lt;=Допущения!$D$41,Допущения!$D$40,Допущения!$D$42))</f>
        <v/>
      </c>
      <c r="T30" s="7">
        <f>IF(19&lt;=Допущения!$D$39,0,IF(19&lt;=Допущения!$D$41,Допущения!$D$40,Допущения!$D$42))</f>
        <v/>
      </c>
      <c r="U30" s="7">
        <f>IF(20&lt;=Допущения!$D$39,0,IF(20&lt;=Допущения!$D$41,Допущения!$D$40,Допущения!$D$42))</f>
        <v/>
      </c>
      <c r="V30" s="7">
        <f>IF(21&lt;=Допущения!$D$39,0,IF(21&lt;=Допущения!$D$41,Допущения!$D$40,Допущения!$D$42))</f>
        <v/>
      </c>
      <c r="W30" s="7">
        <f>IF(22&lt;=Допущения!$D$39,0,IF(22&lt;=Допущения!$D$41,Допущения!$D$40,Допущения!$D$42))</f>
        <v/>
      </c>
      <c r="X30" s="7">
        <f>IF(23&lt;=Допущения!$D$39,0,IF(23&lt;=Допущения!$D$41,Допущения!$D$40,Допущения!$D$42))</f>
        <v/>
      </c>
      <c r="Y30" s="7">
        <f>IF(24&lt;=Допущения!$D$39,0,IF(24&lt;=Допущения!$D$41,Допущения!$D$40,Допущения!$D$42))</f>
        <v/>
      </c>
      <c r="Z30" s="8" t="inlineStr">
        <is>
          <t>Лесенка вместо одной ставки: первый квартал без разработчика, затем девять месяцев по первой ставке, с 13-го месяца — по второй. Взносов нет: это подряд, а не трудовой договор.</t>
        </is>
      </c>
    </row>
    <row r="31">
      <c r="A31" s="27" t="inlineStr">
        <is>
          <t>Страховые взносы за гендиректора</t>
        </is>
      </c>
      <c r="B31" s="15">
        <f>MAX(Допущения!$D$37,Допущения!$D$48)*Допущения!$D$49</f>
        <v/>
      </c>
      <c r="C31" s="15">
        <f>MAX(Допущения!$D$37,Допущения!$D$48)*Допущения!$D$49</f>
        <v/>
      </c>
      <c r="D31" s="15">
        <f>MAX(Допущения!$D$37,Допущения!$D$48)*Допущения!$D$49</f>
        <v/>
      </c>
      <c r="E31" s="15">
        <f>MAX(Допущения!$D$37,Допущения!$D$48)*Допущения!$D$49</f>
        <v/>
      </c>
      <c r="F31" s="15">
        <f>MAX(Допущения!$D$37,Допущения!$D$48)*Допущения!$D$49</f>
        <v/>
      </c>
      <c r="G31" s="15">
        <f>MAX(Допущения!$D$37,Допущения!$D$48)*Допущения!$D$49</f>
        <v/>
      </c>
      <c r="H31" s="15">
        <f>MAX(Допущения!$D$37,Допущения!$D$48)*Допущения!$D$49</f>
        <v/>
      </c>
      <c r="I31" s="15">
        <f>MAX(Допущения!$D$37,Допущения!$D$48)*Допущения!$D$49</f>
        <v/>
      </c>
      <c r="J31" s="15">
        <f>MAX(Допущения!$D$37,Допущения!$D$48)*Допущения!$D$49</f>
        <v/>
      </c>
      <c r="K31" s="15">
        <f>MAX(Допущения!$D$37,Допущения!$D$48)*Допущения!$D$49</f>
        <v/>
      </c>
      <c r="L31" s="15">
        <f>MAX(Допущения!$D$37,Допущения!$D$48)*Допущения!$D$49</f>
        <v/>
      </c>
      <c r="M31" s="15">
        <f>MAX(Допущения!$D$37,Допущения!$D$48)*Допущения!$D$49</f>
        <v/>
      </c>
      <c r="N31" s="15">
        <f>MAX(Допущения!$D$37,Допущения!$D$48)*Допущения!$D$49</f>
        <v/>
      </c>
      <c r="O31" s="15">
        <f>MAX(Допущения!$D$37,Допущения!$D$48)*Допущения!$D$49</f>
        <v/>
      </c>
      <c r="P31" s="15">
        <f>MAX(Допущения!$D$37,Допущения!$D$48)*Допущения!$D$49</f>
        <v/>
      </c>
      <c r="Q31" s="15">
        <f>MAX(Допущения!$D$37,Допущения!$D$48)*Допущения!$D$49</f>
        <v/>
      </c>
      <c r="R31" s="15">
        <f>MAX(Допущения!$D$37,Допущения!$D$48)*Допущения!$D$49</f>
        <v/>
      </c>
      <c r="S31" s="15">
        <f>MAX(Допущения!$D$37,Допущения!$D$48)*Допущения!$D$49</f>
        <v/>
      </c>
      <c r="T31" s="15">
        <f>MAX(Допущения!$D$37,Допущения!$D$48)*Допущения!$D$49</f>
        <v/>
      </c>
      <c r="U31" s="15">
        <f>MAX(Допущения!$D$37,Допущения!$D$48)*Допущения!$D$49</f>
        <v/>
      </c>
      <c r="V31" s="15">
        <f>MAX(Допущения!$D$37,Допущения!$D$48)*Допущения!$D$49</f>
        <v/>
      </c>
      <c r="W31" s="15">
        <f>MAX(Допущения!$D$37,Допущения!$D$48)*Допущения!$D$49</f>
        <v/>
      </c>
      <c r="X31" s="15">
        <f>MAX(Допущения!$D$37,Допущения!$D$48)*Допущения!$D$49</f>
        <v/>
      </c>
      <c r="Y31" s="15">
        <f>MAX(Допущения!$D$37,Допущения!$D$48)*Допущения!$D$49</f>
        <v/>
      </c>
      <c r="Z31" s="8" t="inlineStr">
        <is>
          <t>ОБЯЗАТЕЛЬНЫ С 01.01.2026 даже без трудового договора и без зарплаты: ФЗ от 28.11.2025 № 425-ФЗ изменил п. 1 ст. 421 НК РФ. Подробности — на листе «Налоги и риски».</t>
        </is>
      </c>
    </row>
    <row r="32">
      <c r="A32" s="5" t="inlineStr">
        <is>
          <t>Расходы всего</t>
        </is>
      </c>
      <c r="B32" s="14">
        <f>SUM(B15:B31)</f>
        <v/>
      </c>
      <c r="C32" s="14">
        <f>SUM(C15:C31)</f>
        <v/>
      </c>
      <c r="D32" s="14">
        <f>SUM(D15:D31)</f>
        <v/>
      </c>
      <c r="E32" s="14">
        <f>SUM(E15:E31)</f>
        <v/>
      </c>
      <c r="F32" s="14">
        <f>SUM(F15:F31)</f>
        <v/>
      </c>
      <c r="G32" s="14">
        <f>SUM(G15:G31)</f>
        <v/>
      </c>
      <c r="H32" s="14">
        <f>SUM(H15:H31)</f>
        <v/>
      </c>
      <c r="I32" s="14">
        <f>SUM(I15:I31)</f>
        <v/>
      </c>
      <c r="J32" s="14">
        <f>SUM(J15:J31)</f>
        <v/>
      </c>
      <c r="K32" s="14">
        <f>SUM(K15:K31)</f>
        <v/>
      </c>
      <c r="L32" s="14">
        <f>SUM(L15:L31)</f>
        <v/>
      </c>
      <c r="M32" s="14">
        <f>SUM(M15:M31)</f>
        <v/>
      </c>
      <c r="N32" s="14">
        <f>SUM(N15:N31)</f>
        <v/>
      </c>
      <c r="O32" s="14">
        <f>SUM(O15:O31)</f>
        <v/>
      </c>
      <c r="P32" s="14">
        <f>SUM(P15:P31)</f>
        <v/>
      </c>
      <c r="Q32" s="14">
        <f>SUM(Q15:Q31)</f>
        <v/>
      </c>
      <c r="R32" s="14">
        <f>SUM(R15:R31)</f>
        <v/>
      </c>
      <c r="S32" s="14">
        <f>SUM(S15:S31)</f>
        <v/>
      </c>
      <c r="T32" s="14">
        <f>SUM(T15:T31)</f>
        <v/>
      </c>
      <c r="U32" s="14">
        <f>SUM(U15:U31)</f>
        <v/>
      </c>
      <c r="V32" s="14">
        <f>SUM(V15:V31)</f>
        <v/>
      </c>
      <c r="W32" s="14">
        <f>SUM(W15:W31)</f>
        <v/>
      </c>
      <c r="X32" s="14">
        <f>SUM(X15:X31)</f>
        <v/>
      </c>
      <c r="Y32" s="14">
        <f>SUM(Y15:Y31)</f>
        <v/>
      </c>
    </row>
    <row r="33">
      <c r="A33" s="3" t="inlineStr">
        <is>
          <t>Налоги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>
      <c r="A34" s="17" t="inlineStr">
        <is>
          <t>Доход накопленным итогом за год</t>
        </is>
      </c>
      <c r="B34" s="7">
        <f>SUM($B$12:B12)</f>
        <v/>
      </c>
      <c r="C34" s="7">
        <f>SUM($B$12:C12)</f>
        <v/>
      </c>
      <c r="D34" s="7">
        <f>SUM($B$12:D12)</f>
        <v/>
      </c>
      <c r="E34" s="7">
        <f>SUM($E$12:E12)</f>
        <v/>
      </c>
      <c r="F34" s="7">
        <f>SUM($E$12:F12)</f>
        <v/>
      </c>
      <c r="G34" s="7">
        <f>SUM($E$12:G12)</f>
        <v/>
      </c>
      <c r="H34" s="7">
        <f>SUM($E$12:H12)</f>
        <v/>
      </c>
      <c r="I34" s="7">
        <f>SUM($E$12:I12)</f>
        <v/>
      </c>
      <c r="J34" s="7">
        <f>SUM($E$12:J12)</f>
        <v/>
      </c>
      <c r="K34" s="7">
        <f>SUM($E$12:K12)</f>
        <v/>
      </c>
      <c r="L34" s="7">
        <f>SUM($E$12:L12)</f>
        <v/>
      </c>
      <c r="M34" s="7">
        <f>SUM($E$12:M12)</f>
        <v/>
      </c>
      <c r="N34" s="7">
        <f>SUM($E$12:N12)</f>
        <v/>
      </c>
      <c r="O34" s="7">
        <f>SUM($E$12:O12)</f>
        <v/>
      </c>
      <c r="P34" s="7">
        <f>SUM($E$12:P12)</f>
        <v/>
      </c>
      <c r="Q34" s="7">
        <f>SUM($E$12:Q12)</f>
        <v/>
      </c>
      <c r="R34" s="7">
        <f>SUM($E$12:R12)</f>
        <v/>
      </c>
      <c r="S34" s="7">
        <f>SUM($E$12:S12)</f>
        <v/>
      </c>
      <c r="T34" s="7">
        <f>SUM($E$12:T12)</f>
        <v/>
      </c>
      <c r="U34" s="7">
        <f>SUM($E$12:U12)</f>
        <v/>
      </c>
      <c r="V34" s="7">
        <f>SUM($E$12:V12)</f>
        <v/>
      </c>
      <c r="W34" s="7">
        <f>SUM($E$12:W12)</f>
        <v/>
      </c>
      <c r="X34" s="7">
        <f>SUM($E$12:X12)</f>
        <v/>
      </c>
      <c r="Y34" s="7">
        <f>SUM($E$12:Y12)</f>
        <v/>
      </c>
      <c r="Z34" s="8" t="inlineStr">
        <is>
          <t>Год считается календарный: старт в октябре, поэтому первый календарный год у нас три месяца, а полный год начинается с января.</t>
        </is>
      </c>
    </row>
    <row r="35">
      <c r="A35" s="17" t="inlineStr">
        <is>
          <t>НДС</t>
        </is>
      </c>
      <c r="B35" s="7">
        <f>IF(B34&gt;Допущения!$D$46,B12*Допущения!$D$47,0)</f>
        <v/>
      </c>
      <c r="C35" s="7">
        <f>IF(C34&gt;Допущения!$D$46,C12*Допущения!$D$47,0)</f>
        <v/>
      </c>
      <c r="D35" s="7">
        <f>IF(D34&gt;Допущения!$D$46,D12*Допущения!$D$47,0)</f>
        <v/>
      </c>
      <c r="E35" s="7">
        <f>IF(E34&gt;Допущения!$D$46,E12*Допущения!$D$47,0)</f>
        <v/>
      </c>
      <c r="F35" s="7">
        <f>IF(F34&gt;Допущения!$D$46,F12*Допущения!$D$47,0)</f>
        <v/>
      </c>
      <c r="G35" s="7">
        <f>IF(G34&gt;Допущения!$D$46,G12*Допущения!$D$47,0)</f>
        <v/>
      </c>
      <c r="H35" s="7">
        <f>IF(H34&gt;Допущения!$D$46,H12*Допущения!$D$47,0)</f>
        <v/>
      </c>
      <c r="I35" s="7">
        <f>IF(I34&gt;Допущения!$D$46,I12*Допущения!$D$47,0)</f>
        <v/>
      </c>
      <c r="J35" s="7">
        <f>IF(J34&gt;Допущения!$D$46,J12*Допущения!$D$47,0)</f>
        <v/>
      </c>
      <c r="K35" s="7">
        <f>IF(K34&gt;Допущения!$D$46,K12*Допущения!$D$47,0)</f>
        <v/>
      </c>
      <c r="L35" s="7">
        <f>IF(L34&gt;Допущения!$D$46,L12*Допущения!$D$47,0)</f>
        <v/>
      </c>
      <c r="M35" s="7">
        <f>IF(M34&gt;Допущения!$D$46,M12*Допущения!$D$47,0)</f>
        <v/>
      </c>
      <c r="N35" s="7">
        <f>IF(N34&gt;Допущения!$D$46,N12*Допущения!$D$47,0)</f>
        <v/>
      </c>
      <c r="O35" s="7">
        <f>IF(O34&gt;Допущения!$D$46,O12*Допущения!$D$47,0)</f>
        <v/>
      </c>
      <c r="P35" s="7">
        <f>IF(P34&gt;Допущения!$D$46,P12*Допущения!$D$47,0)</f>
        <v/>
      </c>
      <c r="Q35" s="7">
        <f>IF(Q34&gt;Допущения!$D$46,Q12*Допущения!$D$47,0)</f>
        <v/>
      </c>
      <c r="R35" s="7">
        <f>IF(R34&gt;Допущения!$D$46,R12*Допущения!$D$47,0)</f>
        <v/>
      </c>
      <c r="S35" s="7">
        <f>IF(S34&gt;Допущения!$D$46,S12*Допущения!$D$47,0)</f>
        <v/>
      </c>
      <c r="T35" s="7">
        <f>IF(T34&gt;Допущения!$D$46,T12*Допущения!$D$47,0)</f>
        <v/>
      </c>
      <c r="U35" s="7">
        <f>IF(U34&gt;Допущения!$D$46,U12*Допущения!$D$47,0)</f>
        <v/>
      </c>
      <c r="V35" s="7">
        <f>IF(V34&gt;Допущения!$D$46,V12*Допущения!$D$47,0)</f>
        <v/>
      </c>
      <c r="W35" s="7">
        <f>IF(W34&gt;Допущения!$D$46,W12*Допущения!$D$47,0)</f>
        <v/>
      </c>
      <c r="X35" s="7">
        <f>IF(X34&gt;Допущения!$D$46,X12*Допущения!$D$47,0)</f>
        <v/>
      </c>
      <c r="Y35" s="7">
        <f>IF(Y34&gt;Допущения!$D$46,Y12*Допущения!$D$47,0)</f>
        <v/>
      </c>
      <c r="Z35" s="8" t="inlineStr">
        <is>
          <t>Пока доход с начала года не перевалил за 20 млн ₽ — НДС нет вовсе.</t>
        </is>
      </c>
    </row>
    <row r="36">
      <c r="A36" s="17" t="inlineStr">
        <is>
          <t>База УСН (доходы минус расходы)</t>
        </is>
      </c>
      <c r="B36" s="7">
        <f>B12-B32-B35</f>
        <v/>
      </c>
      <c r="C36" s="7">
        <f>C12-C32-C35</f>
        <v/>
      </c>
      <c r="D36" s="7">
        <f>D12-D32-D35</f>
        <v/>
      </c>
      <c r="E36" s="7">
        <f>E12-E32-E35</f>
        <v/>
      </c>
      <c r="F36" s="7">
        <f>F12-F32-F35</f>
        <v/>
      </c>
      <c r="G36" s="7">
        <f>G12-G32-G35</f>
        <v/>
      </c>
      <c r="H36" s="7">
        <f>H12-H32-H35</f>
        <v/>
      </c>
      <c r="I36" s="7">
        <f>I12-I32-I35</f>
        <v/>
      </c>
      <c r="J36" s="7">
        <f>J12-J32-J35</f>
        <v/>
      </c>
      <c r="K36" s="7">
        <f>K12-K32-K35</f>
        <v/>
      </c>
      <c r="L36" s="7">
        <f>L12-L32-L35</f>
        <v/>
      </c>
      <c r="M36" s="7">
        <f>M12-M32-M35</f>
        <v/>
      </c>
      <c r="N36" s="7">
        <f>N12-N32-N35</f>
        <v/>
      </c>
      <c r="O36" s="7">
        <f>O12-O32-O35</f>
        <v/>
      </c>
      <c r="P36" s="7">
        <f>P12-P32-P35</f>
        <v/>
      </c>
      <c r="Q36" s="7">
        <f>Q12-Q32-Q35</f>
        <v/>
      </c>
      <c r="R36" s="7">
        <f>R12-R32-R35</f>
        <v/>
      </c>
      <c r="S36" s="7">
        <f>S12-S32-S35</f>
        <v/>
      </c>
      <c r="T36" s="7">
        <f>T12-T32-T35</f>
        <v/>
      </c>
      <c r="U36" s="7">
        <f>U12-U32-U35</f>
        <v/>
      </c>
      <c r="V36" s="7">
        <f>V12-V32-V35</f>
        <v/>
      </c>
      <c r="W36" s="7">
        <f>W12-W32-W35</f>
        <v/>
      </c>
      <c r="X36" s="7">
        <f>X12-X32-X35</f>
        <v/>
      </c>
      <c r="Y36" s="7">
        <f>Y12-Y32-Y35</f>
        <v/>
      </c>
    </row>
    <row r="37">
      <c r="A37" s="17" t="inlineStr">
        <is>
          <t>Налог УСН</t>
        </is>
      </c>
      <c r="B37" s="7">
        <f>MAX(B36*Допущения!$D$44,B12*Допущения!$D$45)</f>
        <v/>
      </c>
      <c r="C37" s="7">
        <f>MAX(C36*Допущения!$D$44,C12*Допущения!$D$45)</f>
        <v/>
      </c>
      <c r="D37" s="7">
        <f>MAX(D36*Допущения!$D$44,D12*Допущения!$D$45)</f>
        <v/>
      </c>
      <c r="E37" s="7">
        <f>MAX(E36*Допущения!$D$44,E12*Допущения!$D$45)</f>
        <v/>
      </c>
      <c r="F37" s="7">
        <f>MAX(F36*Допущения!$D$44,F12*Допущения!$D$45)</f>
        <v/>
      </c>
      <c r="G37" s="7">
        <f>MAX(G36*Допущения!$D$44,G12*Допущения!$D$45)</f>
        <v/>
      </c>
      <c r="H37" s="7">
        <f>MAX(H36*Допущения!$D$44,H12*Допущения!$D$45)</f>
        <v/>
      </c>
      <c r="I37" s="7">
        <f>MAX(I36*Допущения!$D$44,I12*Допущения!$D$45)</f>
        <v/>
      </c>
      <c r="J37" s="7">
        <f>MAX(J36*Допущения!$D$44,J12*Допущения!$D$45)</f>
        <v/>
      </c>
      <c r="K37" s="7">
        <f>MAX(K36*Допущения!$D$44,K12*Допущения!$D$45)</f>
        <v/>
      </c>
      <c r="L37" s="7">
        <f>MAX(L36*Допущения!$D$44,L12*Допущения!$D$45)</f>
        <v/>
      </c>
      <c r="M37" s="7">
        <f>MAX(M36*Допущения!$D$44,M12*Допущения!$D$45)</f>
        <v/>
      </c>
      <c r="N37" s="7">
        <f>MAX(N36*Допущения!$D$44,N12*Допущения!$D$45)</f>
        <v/>
      </c>
      <c r="O37" s="7">
        <f>MAX(O36*Допущения!$D$44,O12*Допущения!$D$45)</f>
        <v/>
      </c>
      <c r="P37" s="7">
        <f>MAX(P36*Допущения!$D$44,P12*Допущения!$D$45)</f>
        <v/>
      </c>
      <c r="Q37" s="7">
        <f>MAX(Q36*Допущения!$D$44,Q12*Допущения!$D$45)</f>
        <v/>
      </c>
      <c r="R37" s="7">
        <f>MAX(R36*Допущения!$D$44,R12*Допущения!$D$45)</f>
        <v/>
      </c>
      <c r="S37" s="7">
        <f>MAX(S36*Допущения!$D$44,S12*Допущения!$D$45)</f>
        <v/>
      </c>
      <c r="T37" s="7">
        <f>MAX(T36*Допущения!$D$44,T12*Допущения!$D$45)</f>
        <v/>
      </c>
      <c r="U37" s="7">
        <f>MAX(U36*Допущения!$D$44,U12*Допущения!$D$45)</f>
        <v/>
      </c>
      <c r="V37" s="7">
        <f>MAX(V36*Допущения!$D$44,V12*Допущения!$D$45)</f>
        <v/>
      </c>
      <c r="W37" s="7">
        <f>MAX(W36*Допущения!$D$44,W12*Допущения!$D$45)</f>
        <v/>
      </c>
      <c r="X37" s="7">
        <f>MAX(X36*Допущения!$D$44,X12*Допущения!$D$45)</f>
        <v/>
      </c>
      <c r="Y37" s="7">
        <f>MAX(Y36*Допущения!$D$44,Y12*Допущения!$D$45)</f>
        <v/>
      </c>
      <c r="Z37" s="8" t="inlineStr">
        <is>
          <t>Большее из двух: 15% с разницы или 1% с дохода. В убыточные месяцы платится минимальный налог — его платят и при убытке, это регулярно забывают.</t>
        </is>
      </c>
    </row>
    <row r="38">
      <c r="A38" s="5" t="inlineStr">
        <is>
          <t>Налоги всего</t>
        </is>
      </c>
      <c r="B38" s="14">
        <f>B35+B37</f>
        <v/>
      </c>
      <c r="C38" s="14">
        <f>C35+C37</f>
        <v/>
      </c>
      <c r="D38" s="14">
        <f>D35+D37</f>
        <v/>
      </c>
      <c r="E38" s="14">
        <f>E35+E37</f>
        <v/>
      </c>
      <c r="F38" s="14">
        <f>F35+F37</f>
        <v/>
      </c>
      <c r="G38" s="14">
        <f>G35+G37</f>
        <v/>
      </c>
      <c r="H38" s="14">
        <f>H35+H37</f>
        <v/>
      </c>
      <c r="I38" s="14">
        <f>I35+I37</f>
        <v/>
      </c>
      <c r="J38" s="14">
        <f>J35+J37</f>
        <v/>
      </c>
      <c r="K38" s="14">
        <f>K35+K37</f>
        <v/>
      </c>
      <c r="L38" s="14">
        <f>L35+L37</f>
        <v/>
      </c>
      <c r="M38" s="14">
        <f>M35+M37</f>
        <v/>
      </c>
      <c r="N38" s="14">
        <f>N35+N37</f>
        <v/>
      </c>
      <c r="O38" s="14">
        <f>O35+O37</f>
        <v/>
      </c>
      <c r="P38" s="14">
        <f>P35+P37</f>
        <v/>
      </c>
      <c r="Q38" s="14">
        <f>Q35+Q37</f>
        <v/>
      </c>
      <c r="R38" s="14">
        <f>R35+R37</f>
        <v/>
      </c>
      <c r="S38" s="14">
        <f>S35+S37</f>
        <v/>
      </c>
      <c r="T38" s="14">
        <f>T35+T37</f>
        <v/>
      </c>
      <c r="U38" s="14">
        <f>U35+U37</f>
        <v/>
      </c>
      <c r="V38" s="14">
        <f>V35+V37</f>
        <v/>
      </c>
      <c r="W38" s="14">
        <f>W35+W37</f>
        <v/>
      </c>
      <c r="X38" s="14">
        <f>X35+X37</f>
        <v/>
      </c>
      <c r="Y38" s="14">
        <f>Y35+Y37</f>
        <v/>
      </c>
    </row>
    <row r="39">
      <c r="A39" s="3" t="inlineStr">
        <is>
          <t>Итог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>
      <c r="A40" s="5" t="inlineStr">
        <is>
          <t>Прибыль до налогов</t>
        </is>
      </c>
      <c r="B40" s="14">
        <f>B12-B32</f>
        <v/>
      </c>
      <c r="C40" s="14">
        <f>C12-C32</f>
        <v/>
      </c>
      <c r="D40" s="14">
        <f>D12-D32</f>
        <v/>
      </c>
      <c r="E40" s="14">
        <f>E12-E32</f>
        <v/>
      </c>
      <c r="F40" s="14">
        <f>F12-F32</f>
        <v/>
      </c>
      <c r="G40" s="14">
        <f>G12-G32</f>
        <v/>
      </c>
      <c r="H40" s="14">
        <f>H12-H32</f>
        <v/>
      </c>
      <c r="I40" s="14">
        <f>I12-I32</f>
        <v/>
      </c>
      <c r="J40" s="14">
        <f>J12-J32</f>
        <v/>
      </c>
      <c r="K40" s="14">
        <f>K12-K32</f>
        <v/>
      </c>
      <c r="L40" s="14">
        <f>L12-L32</f>
        <v/>
      </c>
      <c r="M40" s="14">
        <f>M12-M32</f>
        <v/>
      </c>
      <c r="N40" s="14">
        <f>N12-N32</f>
        <v/>
      </c>
      <c r="O40" s="14">
        <f>O12-O32</f>
        <v/>
      </c>
      <c r="P40" s="14">
        <f>P12-P32</f>
        <v/>
      </c>
      <c r="Q40" s="14">
        <f>Q12-Q32</f>
        <v/>
      </c>
      <c r="R40" s="14">
        <f>R12-R32</f>
        <v/>
      </c>
      <c r="S40" s="14">
        <f>S12-S32</f>
        <v/>
      </c>
      <c r="T40" s="14">
        <f>T12-T32</f>
        <v/>
      </c>
      <c r="U40" s="14">
        <f>U12-U32</f>
        <v/>
      </c>
      <c r="V40" s="14">
        <f>V12-V32</f>
        <v/>
      </c>
      <c r="W40" s="14">
        <f>W12-W32</f>
        <v/>
      </c>
      <c r="X40" s="14">
        <f>X12-X32</f>
        <v/>
      </c>
      <c r="Y40" s="14">
        <f>Y12-Y32</f>
        <v/>
      </c>
    </row>
    <row r="41">
      <c r="A41" s="5" t="inlineStr">
        <is>
          <t>Чистая прибыль</t>
        </is>
      </c>
      <c r="B41" s="14">
        <f>B40-B38</f>
        <v/>
      </c>
      <c r="C41" s="14">
        <f>C40-C38</f>
        <v/>
      </c>
      <c r="D41" s="14">
        <f>D40-D38</f>
        <v/>
      </c>
      <c r="E41" s="14">
        <f>E40-E38</f>
        <v/>
      </c>
      <c r="F41" s="14">
        <f>F40-F38</f>
        <v/>
      </c>
      <c r="G41" s="14">
        <f>G40-G38</f>
        <v/>
      </c>
      <c r="H41" s="14">
        <f>H40-H38</f>
        <v/>
      </c>
      <c r="I41" s="14">
        <f>I40-I38</f>
        <v/>
      </c>
      <c r="J41" s="14">
        <f>J40-J38</f>
        <v/>
      </c>
      <c r="K41" s="14">
        <f>K40-K38</f>
        <v/>
      </c>
      <c r="L41" s="14">
        <f>L40-L38</f>
        <v/>
      </c>
      <c r="M41" s="14">
        <f>M40-M38</f>
        <v/>
      </c>
      <c r="N41" s="14">
        <f>N40-N38</f>
        <v/>
      </c>
      <c r="O41" s="14">
        <f>O40-O38</f>
        <v/>
      </c>
      <c r="P41" s="14">
        <f>P40-P38</f>
        <v/>
      </c>
      <c r="Q41" s="14">
        <f>Q40-Q38</f>
        <v/>
      </c>
      <c r="R41" s="14">
        <f>R40-R38</f>
        <v/>
      </c>
      <c r="S41" s="14">
        <f>S40-S38</f>
        <v/>
      </c>
      <c r="T41" s="14">
        <f>T40-T38</f>
        <v/>
      </c>
      <c r="U41" s="14">
        <f>U40-U38</f>
        <v/>
      </c>
      <c r="V41" s="14">
        <f>V40-V38</f>
        <v/>
      </c>
      <c r="W41" s="14">
        <f>W40-W38</f>
        <v/>
      </c>
      <c r="X41" s="14">
        <f>X40-X38</f>
        <v/>
      </c>
      <c r="Y41" s="14">
        <f>Y40-Y38</f>
        <v/>
      </c>
    </row>
    <row r="42">
      <c r="A42" s="5" t="inlineStr">
        <is>
          <t>Денежный поток за месяц</t>
        </is>
      </c>
      <c r="B42" s="14">
        <f>B13-B32-B38</f>
        <v/>
      </c>
      <c r="C42" s="14">
        <f>C13-C32-C38</f>
        <v/>
      </c>
      <c r="D42" s="14">
        <f>D13-D32-D38</f>
        <v/>
      </c>
      <c r="E42" s="14">
        <f>E13-E32-E38</f>
        <v/>
      </c>
      <c r="F42" s="14">
        <f>F13-F32-F38</f>
        <v/>
      </c>
      <c r="G42" s="14">
        <f>G13-G32-G38</f>
        <v/>
      </c>
      <c r="H42" s="14">
        <f>H13-H32-H38</f>
        <v/>
      </c>
      <c r="I42" s="14">
        <f>I13-I32-I38</f>
        <v/>
      </c>
      <c r="J42" s="14">
        <f>J13-J32-J38</f>
        <v/>
      </c>
      <c r="K42" s="14">
        <f>K13-K32-K38</f>
        <v/>
      </c>
      <c r="L42" s="14">
        <f>L13-L32-L38</f>
        <v/>
      </c>
      <c r="M42" s="14">
        <f>M13-M32-M38</f>
        <v/>
      </c>
      <c r="N42" s="14">
        <f>N13-N32-N38</f>
        <v/>
      </c>
      <c r="O42" s="14">
        <f>O13-O32-O38</f>
        <v/>
      </c>
      <c r="P42" s="14">
        <f>P13-P32-P38</f>
        <v/>
      </c>
      <c r="Q42" s="14">
        <f>Q13-Q32-Q38</f>
        <v/>
      </c>
      <c r="R42" s="14">
        <f>R13-R32-R38</f>
        <v/>
      </c>
      <c r="S42" s="14">
        <f>S13-S32-S38</f>
        <v/>
      </c>
      <c r="T42" s="14">
        <f>T13-T32-T38</f>
        <v/>
      </c>
      <c r="U42" s="14">
        <f>U13-U32-U38</f>
        <v/>
      </c>
      <c r="V42" s="14">
        <f>V13-V32-V38</f>
        <v/>
      </c>
      <c r="W42" s="14">
        <f>W13-W32-W38</f>
        <v/>
      </c>
      <c r="X42" s="14">
        <f>X13-X32-X38</f>
        <v/>
      </c>
      <c r="Y42" s="14">
        <f>Y13-Y32-Y38</f>
        <v/>
      </c>
    </row>
    <row r="43">
      <c r="A43" s="5" t="inlineStr">
        <is>
          <t>Деньги на конец месяца</t>
        </is>
      </c>
      <c r="B43" s="14">
        <f>Допущения!$D$52+B42</f>
        <v/>
      </c>
      <c r="C43" s="14">
        <f>B43+C42</f>
        <v/>
      </c>
      <c r="D43" s="14">
        <f>C43+D42</f>
        <v/>
      </c>
      <c r="E43" s="14">
        <f>D43+E42</f>
        <v/>
      </c>
      <c r="F43" s="14">
        <f>E43+F42</f>
        <v/>
      </c>
      <c r="G43" s="14">
        <f>F43+G42</f>
        <v/>
      </c>
      <c r="H43" s="14">
        <f>G43+H42</f>
        <v/>
      </c>
      <c r="I43" s="14">
        <f>H43+I42</f>
        <v/>
      </c>
      <c r="J43" s="14">
        <f>I43+J42</f>
        <v/>
      </c>
      <c r="K43" s="14">
        <f>J43+K42</f>
        <v/>
      </c>
      <c r="L43" s="14">
        <f>K43+L42</f>
        <v/>
      </c>
      <c r="M43" s="14">
        <f>L43+M42</f>
        <v/>
      </c>
      <c r="N43" s="14">
        <f>M43+N42</f>
        <v/>
      </c>
      <c r="O43" s="14">
        <f>N43+O42</f>
        <v/>
      </c>
      <c r="P43" s="14">
        <f>O43+P42</f>
        <v/>
      </c>
      <c r="Q43" s="14">
        <f>P43+Q42</f>
        <v/>
      </c>
      <c r="R43" s="14">
        <f>Q43+R42</f>
        <v/>
      </c>
      <c r="S43" s="14">
        <f>R43+S42</f>
        <v/>
      </c>
      <c r="T43" s="14">
        <f>S43+T42</f>
        <v/>
      </c>
      <c r="U43" s="14">
        <f>T43+U42</f>
        <v/>
      </c>
      <c r="V43" s="14">
        <f>U43+V42</f>
        <v/>
      </c>
      <c r="W43" s="14">
        <f>V43+W42</f>
        <v/>
      </c>
      <c r="X43" s="14">
        <f>W43+X42</f>
        <v/>
      </c>
      <c r="Y43" s="14">
        <f>X43+Y42</f>
        <v/>
      </c>
      <c r="Z43" s="8" t="inlineStr">
        <is>
          <t>Месяц, в котором это число уходит в минус, — тот, до которого нужны деньги.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86" customWidth="1" min="3" max="3"/>
  </cols>
  <sheetData>
    <row r="1">
      <c r="A1" s="1" t="inlineStr">
        <is>
          <t>Налоги и риски: что проверено и что изменилось</t>
        </is>
      </c>
    </row>
    <row r="2">
      <c r="A2" s="2" t="inlineStr">
        <is>
          <t>Числа взяты из колонки «990 ₽» — ставки во всех трёх сценариях одинаковые.</t>
        </is>
      </c>
    </row>
    <row r="4" ht="32" customHeight="1">
      <c r="A4" s="22" t="inlineStr">
        <is>
          <t>ГЛАВНОЕ: замысел «не заключать трудовой договор с гендиректором, чтобы не платить взносы» с 1 января 2026 года больше не работает</t>
        </is>
      </c>
    </row>
    <row r="5" ht="34" customHeight="1">
      <c r="A5" s="17" t="inlineStr">
        <is>
          <t>•</t>
        </is>
      </c>
      <c r="B5" s="6" t="inlineStr">
        <is>
          <t>ФЗ от 28.11.2025 № 425-ФЗ изменил пункт 1 статьи 421 НК РФ. С 01.01.2026: если за месяц единоличному исполнительному органу коммерческой организации начислено выплат меньше МРОТ, страховые взносы считаются исходя из МРОТ.</t>
        </is>
      </c>
    </row>
    <row r="6" ht="34" customHeight="1">
      <c r="A6" s="17" t="inlineStr">
        <is>
          <t>•</t>
        </is>
      </c>
      <c r="B6" s="6" t="inlineStr">
        <is>
          <t>Норма не спрашивает, есть ли трудовой договор. Она привязана к самому факту исполнения полномочий руководителя. Отсутствие договора и отсутствие зарплаты больше не спасают.</t>
        </is>
      </c>
    </row>
    <row r="7" ht="34" customHeight="1">
      <c r="A7" s="17" t="inlineStr">
        <is>
          <t>•</t>
        </is>
      </c>
      <c r="B7" s="6" t="inlineStr">
        <is>
          <t>Правило касается всех коммерческих организаций, АО в том числе. Исключений по форме нет.</t>
        </is>
      </c>
    </row>
    <row r="8" ht="34" customHeight="1">
      <c r="A8" s="17" t="inlineStr">
        <is>
          <t>•</t>
        </is>
      </c>
      <c r="B8" s="6" t="inlineStr">
        <is>
          <t>Значит, экономия, ради которой затевался отказ от трудового договора, равна нулю — а риск остался: если взносы не платить, при проверке доначислят их же, плюс пени и штраф.</t>
        </is>
      </c>
    </row>
    <row r="10">
      <c r="A10" s="16" t="inlineStr">
        <is>
          <t>Сколько это стоит</t>
        </is>
      </c>
    </row>
    <row r="11">
      <c r="A11" s="18" t="inlineStr">
        <is>
          <t>Показатель</t>
        </is>
      </c>
      <c r="B11" s="18" t="inlineStr">
        <is>
          <t>Значение</t>
        </is>
      </c>
      <c r="C11" s="18" t="inlineStr">
        <is>
          <t>Как считается</t>
        </is>
      </c>
    </row>
    <row r="12" ht="30" customHeight="1">
      <c r="A12" s="17" t="inlineStr">
        <is>
          <t>МРОТ 2026, ₽ в месяц</t>
        </is>
      </c>
      <c r="B12" s="14">
        <f>Допущения!$C$48</f>
        <v/>
      </c>
      <c r="C12" s="8" t="inlineStr">
        <is>
          <t>ФЗ от 28.11.2025 № 429-ФЗ</t>
        </is>
      </c>
    </row>
    <row r="13" ht="30" customHeight="1">
      <c r="A13" s="17" t="inlineStr">
        <is>
          <t>Тариф взносов</t>
        </is>
      </c>
      <c r="B13" s="28">
        <f>Допущения!$C$49</f>
        <v/>
      </c>
      <c r="C13" s="8" t="inlineStr">
        <is>
          <t>30% в пределах базы 2 979 000 ₽. Льгота МСП 15% не применяется: она действует только на выплаты СВЫШЕ 1,5 МРОТ (40 640 ₽), а МРОТ ниже этой границы.</t>
        </is>
      </c>
    </row>
    <row r="14" ht="30" customHeight="1">
      <c r="A14" s="17" t="inlineStr">
        <is>
          <t>Взносы за гендиректора, ₽ в месяц</t>
        </is>
      </c>
      <c r="B14" s="14">
        <f>Допущения!$C$48*Допущения!$C$49</f>
        <v/>
      </c>
      <c r="C14" s="8" t="inlineStr">
        <is>
          <t>МРОТ × тариф</t>
        </is>
      </c>
    </row>
    <row r="15" ht="30" customHeight="1">
      <c r="A15" s="17" t="inlineStr">
        <is>
          <t>Взносы за гендиректора, ₽ в год</t>
        </is>
      </c>
      <c r="B15" s="14">
        <f>Допущения!$C$48*Допущения!$C$49*12</f>
        <v/>
      </c>
      <c r="C15" s="8" t="inlineStr">
        <is>
          <t>Это цена решения «не платить зарплату». Раньше она была нулём.</t>
        </is>
      </c>
    </row>
    <row r="16" ht="30" customHeight="1">
      <c r="A16" s="17" t="inlineStr">
        <is>
          <t>За двоих руководителей, ₽ в год</t>
        </is>
      </c>
      <c r="B16" s="14">
        <f>Допущения!$C$48*Допущения!$C$49*12*2</f>
        <v/>
      </c>
      <c r="C16" s="8" t="inlineStr">
        <is>
          <t>Если руководителей двое, считается по каждому.</t>
        </is>
      </c>
    </row>
    <row r="18">
      <c r="A18" s="16" t="inlineStr">
        <is>
          <t>Если всё-таки не платить: во что обойдётся проверка</t>
        </is>
      </c>
    </row>
    <row r="19" ht="30" customHeight="1">
      <c r="A19" s="17" t="inlineStr">
        <is>
          <t>Недоимка за 3 года (глубина проверки)</t>
        </is>
      </c>
      <c r="B19" s="15">
        <f>Допущения!$C$48*Допущения!$C$49*36</f>
        <v/>
      </c>
      <c r="C19" s="8" t="inlineStr">
        <is>
          <t>Выездная проверка охватывает три года, предшествующих году её назначения.</t>
        </is>
      </c>
    </row>
    <row r="20" ht="30" customHeight="1">
      <c r="A20" s="17" t="inlineStr">
        <is>
          <t>Штраф 20% от неуплаченного</t>
        </is>
      </c>
      <c r="B20" s="15">
        <f>Допущения!$C$48*Допущения!$C$49*36*0.2</f>
        <v/>
      </c>
      <c r="C20" s="8" t="inlineStr">
        <is>
          <t>П. 1 ст. 122 НК РФ. Если докажут умысел — 40%.</t>
        </is>
      </c>
    </row>
    <row r="21" ht="30" customHeight="1">
      <c r="A21" s="17" t="inlineStr">
        <is>
          <t>Пени (ориентир, ~16% годовых в среднем за период)</t>
        </is>
      </c>
      <c r="B21" s="15">
        <f>Допущения!$C$48*Допущения!$C$49*36*0.24</f>
        <v/>
      </c>
      <c r="C21" s="8" t="inlineStr">
        <is>
          <t>Считаются по ключевой ставке за каждый день просрочки; здесь грубая прикидка.</t>
        </is>
      </c>
    </row>
    <row r="22" ht="30" customHeight="1">
      <c r="A22" s="17" t="inlineStr">
        <is>
          <t>Итого при худшем исходе</t>
        </is>
      </c>
      <c r="B22" s="15">
        <f>Допущения!$C$48*Допущения!$C$49*36*1.44</f>
        <v/>
      </c>
      <c r="C22" s="8" t="inlineStr">
        <is>
          <t>Против нуля экономии. Поэтому в модели взносы стоят в расходах с первого месяца.</t>
        </is>
      </c>
    </row>
    <row r="24">
      <c r="A24" s="16" t="inlineStr">
        <is>
          <t>Что с этим делать — три варианта, по возрастанию выгоды</t>
        </is>
      </c>
    </row>
    <row r="25">
      <c r="A25" s="5" t="inlineStr">
        <is>
          <t>1. Оставить как есть: без договора, взносы с МРОТ</t>
        </is>
      </c>
    </row>
    <row r="26" ht="46" customHeight="1">
      <c r="A26" s="6" t="inlineStr">
        <is>
          <t>Платим 8 128 ₽ в месяц и спим спокойно. Трудового договора нет, зарплаты нет, но взносы начисляем и сдаём отчётность. Самый простой путь, и он уже заложен в модель.</t>
        </is>
      </c>
    </row>
    <row r="28">
      <c r="A28" s="5" t="inlineStr">
        <is>
          <t>2. Заключить трудовой договор на МРОТ</t>
        </is>
      </c>
    </row>
    <row r="29" ht="46" customHeight="1">
      <c r="A29" s="6" t="inlineStr">
        <is>
          <t>Та же сумма взносов (база одна — МРОТ), но появляется зарплата 27 093 ₽ и НДФЛ с неё. Зато исчезает спор о статусе, а зарплата попадает в расходы УСН и уменьшает налог: при ставке 15% это возвращает около 4 тыс ₽ в месяц. То есть вариант дешевле первого.</t>
        </is>
      </c>
    </row>
    <row r="31">
      <c r="A31" s="5" t="inlineStr">
        <is>
          <t>3. Посмотреть на АУСН — там взносы 0%</t>
        </is>
      </c>
    </row>
    <row r="32" ht="46" customHeight="1">
      <c r="A32" s="6" t="inlineStr">
        <is>
          <t>Автоматизированная УСН: тариф страховых взносов 0%, остаётся взнос на травматизм 2 959 ₽ в год. Ограничения: доход до 60 млн ₽, до 5 человек, режим действует не во всех регионах. На нашем масштабе подходит и экономит около 97 тыс ₽ в год только на гендиректоре. ПРОВЕРИТЬ: действует ли АУСН в вашем регионе и вправе ли АО его применять.</t>
        </is>
      </c>
    </row>
    <row r="34">
      <c r="A34" s="16" t="inlineStr">
        <is>
          <t>Разработчик на аутсорсе: где здесь риск</t>
        </is>
      </c>
    </row>
    <row r="35" ht="46" customHeight="1">
      <c r="A35" s="6" t="inlineStr">
        <is>
          <t>Вы решили платить разработчику по договору подряда — самозанятому или ИП, без страховых взносов. Это законно и обычно. Но именно у этой схемы есть признаки, по которым налоговая переквалифицирует отношения в трудовые, и два из них у нас будут:</t>
        </is>
      </c>
    </row>
    <row r="36" ht="40" customHeight="1">
      <c r="A36" s="17" t="inlineStr">
        <is>
          <t>•</t>
        </is>
      </c>
      <c r="B36" s="6" t="inlineStr">
        <is>
          <t>Одинаковая сумма каждый месяц подряд много месяцев — это выглядит как оклад, а не как оплата за результат.</t>
        </is>
      </c>
    </row>
    <row r="37" ht="40" customHeight="1">
      <c r="A37" s="17" t="inlineStr">
        <is>
          <t>•</t>
        </is>
      </c>
      <c r="B37" s="6" t="inlineStr">
        <is>
          <t>Единственный заказчик у исполнителя. Если мы для него один источник дохода, довод «это самостоятельная деятельность» слабеет.</t>
        </is>
      </c>
    </row>
    <row r="38" ht="40" customHeight="1">
      <c r="A38" s="17" t="inlineStr">
        <is>
          <t>•</t>
        </is>
      </c>
      <c r="B38" s="6" t="inlineStr">
        <is>
          <t>Что снимает риск: договор на конкретный результат, а не на «выполнение работ»; акт по каждой сдаче с перечнем сделанного; разные суммы; отсутствие графика, рабочего места и подчинения. Чек от самозанятого — обязателен на каждую выплату.</t>
        </is>
      </c>
    </row>
    <row r="39" ht="40" customHeight="1">
      <c r="A39" s="17" t="inlineStr">
        <is>
          <t>•</t>
        </is>
      </c>
      <c r="B39" s="6" t="inlineStr">
        <is>
          <t>Если исполнитель — самозанятый и он же был нашим работником в последние два года, его доход НЕЛЬЗЯ облагать налогом на профессиональный доход: закон это прямо запрещает, и взносы придётся платить в любом случае.</t>
        </is>
      </c>
    </row>
    <row r="41">
      <c r="A41" s="16" t="inlineStr">
        <is>
          <t>Во что обойдётся переквалификация за два года</t>
        </is>
      </c>
    </row>
    <row r="42">
      <c r="A42" s="18" t="inlineStr">
        <is>
          <t>Показатель</t>
        </is>
      </c>
      <c r="B42" s="18" t="inlineStr">
        <is>
          <t>Значение</t>
        </is>
      </c>
      <c r="C42" s="18" t="inlineStr">
        <is>
          <t>Как считается</t>
        </is>
      </c>
    </row>
    <row r="43" ht="32" customHeight="1">
      <c r="A43" s="17" t="inlineStr">
        <is>
          <t>Выплачено разработчику за 24 месяца</t>
        </is>
      </c>
      <c r="B43" s="15">
        <f>(Допущения!$C$40*9+Допущения!$C$42*12)</f>
        <v/>
      </c>
      <c r="C43" s="8" t="inlineStr">
        <is>
          <t>Девять месяцев по первой ставке плюс двенадцать по второй.</t>
        </is>
      </c>
    </row>
    <row r="44" ht="32" customHeight="1">
      <c r="A44" s="17" t="inlineStr">
        <is>
          <t>Взносы, если отношения признают трудовыми</t>
        </is>
      </c>
      <c r="B44" s="15">
        <f>(Допущения!$C$40*9+Допущения!$C$42*12)*Допущения!$C$49</f>
        <v/>
      </c>
      <c r="C44" s="8" t="inlineStr">
        <is>
          <t>30% на всю сумму выплат: переквалификация действует задним числом.</t>
        </is>
      </c>
    </row>
    <row r="45" ht="32" customHeight="1">
      <c r="A45" s="17" t="inlineStr">
        <is>
          <t>Штраф 20% от неуплаченного</t>
        </is>
      </c>
      <c r="B45" s="15">
        <f>(Допущения!$C$40*9+Допущения!$C$42*12)*Допущения!$C$49*0.2</f>
        <v/>
      </c>
      <c r="C45" s="8" t="inlineStr">
        <is>
          <t>П. 1 ст. 122 НК РФ.</t>
        </is>
      </c>
    </row>
    <row r="46" ht="32" customHeight="1">
      <c r="A46" s="17" t="inlineStr">
        <is>
          <t>Итого к доплате при худшем исходе</t>
        </is>
      </c>
      <c r="B46" s="15">
        <f>(Допущения!$C$40*9+Допущения!$C$42*12)*Допущения!$C$49*1.2</f>
        <v/>
      </c>
      <c r="C46" s="8" t="inlineStr">
        <is>
          <t>Плюс пени и плюс ответственность налогового агента по НДФЛ, если исполнитель окажется не самозанятым и не ИП. Это не довод против аутсорса — это довод за аккуратные договор и акты.</t>
        </is>
      </c>
    </row>
    <row r="48">
      <c r="A48" s="16" t="inlineStr">
        <is>
          <t>Что добавляет продажа именно физическим лицам</t>
        </is>
      </c>
    </row>
    <row r="49">
      <c r="A49" s="5" t="inlineStr">
        <is>
          <t>Фискальный чек на каждый платёж (54-ФЗ)</t>
        </is>
      </c>
    </row>
    <row r="50" ht="58" customHeight="1">
      <c r="A50" s="6" t="inlineStr">
        <is>
          <t>Приём денег от физлица требует чека. Обычно его выбивает платёжный сервис как агент — ПРОВЕРИТЬ это прямо в договоре с провайдером. Если сервис чеки не выбивает, нужна облачная касса с фискальным накопителем: это 2–3 тыс ₽ в месяц и отдельная настройка. При продаже компаниям по счёту этой статьи не существует вовсе.</t>
        </is>
      </c>
    </row>
    <row r="52">
      <c r="A52" s="5" t="inlineStr">
        <is>
          <t>Закон о защите прав потребителей сильнее нашей оферты</t>
        </is>
      </c>
    </row>
    <row r="53" ht="58" customHeight="1">
      <c r="A53" s="6" t="inlineStr">
        <is>
          <t>Условия, ухудшающие положение потребителя по сравнению с законом, ничтожны — как бы аккуратно они ни были написаны в оферте. Человек вправе отказаться от подписки и вернуть деньги за неиспользованный период. В модели на это заложено 2% выручки; оферту должен смотреть юрист именно под физлиц, а не под компании.</t>
        </is>
      </c>
    </row>
    <row r="55">
      <c r="A55" s="5" t="inlineStr">
        <is>
          <t>Персональные данные: физлиц много, и согласия нужны настоящие</t>
        </is>
      </c>
    </row>
    <row r="56" ht="58" customHeight="1">
      <c r="A56" s="6" t="inlineStr">
        <is>
          <t>Регистрация человека — это обработка персональных данных: нужны уведомление Роскомнадзора, политика обработки и отдельное согласие на рекламную рассылку (просто галочки при регистрации мало). Штрафы за рассылку без согласия выписывают по жалобе одного человека.</t>
        </is>
      </c>
    </row>
    <row r="58">
      <c r="A58" s="5" t="inlineStr">
        <is>
          <t>Маркировка интернет-рекламы</t>
        </is>
      </c>
    </row>
    <row r="59" ht="58" customHeight="1">
      <c r="A59" s="6" t="inlineStr">
        <is>
          <t>Любой посев в канале или таргет — это реклама, которую нужно маркировать и отчитываться о ней оператору рекламных данных. Это не деньги, а обязанность и время; поручать её площадке нужно письменно, иначе отвечаем мы.</t>
        </is>
      </c>
    </row>
    <row r="61">
      <c r="A61" s="5" t="inlineStr">
        <is>
          <t>Зато НДС далеко</t>
        </is>
      </c>
    </row>
    <row r="62" ht="58" customHeight="1">
      <c r="A62" s="6" t="inlineStr">
        <is>
          <t>Порог освобождения — 20 млн ₽ дохода в год. При чеке 790–1490 ₽ в месяц это тысячи подписчиков, до которых нам ещё идти. В продаже компаниям порог упирался бы в пару сотен клиентов. Смотрите строку «сколько подписчиков — это 20 млн ₽» на листе единицы экономики.</t>
        </is>
      </c>
    </row>
    <row r="64">
      <c r="A64" s="16" t="inlineStr">
        <is>
          <t>Остальные налоговые узлы</t>
        </is>
      </c>
    </row>
    <row r="65">
      <c r="A65" s="5" t="inlineStr">
        <is>
          <t>Минимальный налог платится и при убытке</t>
        </is>
      </c>
    </row>
    <row r="66" ht="46" customHeight="1">
      <c r="A66" s="6" t="inlineStr">
        <is>
          <t>На «доходах минус расходах» платится большее из двух: 15% с разницы или 1% с дохода. Первый год убыточен, значит весь год платим 1% с выручки. В модели это учтено.</t>
        </is>
      </c>
    </row>
    <row r="68">
      <c r="A68" s="5" t="inlineStr">
        <is>
          <t>У АО есть расходы, которых нет у ООО</t>
        </is>
      </c>
    </row>
    <row r="69" ht="46" customHeight="1">
      <c r="A69" s="6" t="inlineStr">
        <is>
          <t>Реестр акционеров обязан вести лицензированный регистратор — отдельная строка расходов и отдельный договор. Плюс более сложная отчётность. Если АО заведено не ради будущего раунда, стоит пересчитать, зачем оно: ООО дешевле в содержании.</t>
        </is>
      </c>
    </row>
    <row r="71">
      <c r="A71" s="5" t="inlineStr">
        <is>
          <t>Аккредитация Минцифры нам сейчас недоступна</t>
        </is>
      </c>
    </row>
    <row r="72" ht="46" customHeight="1">
      <c r="A72" s="6" t="inlineStr">
        <is>
          <t>Она даёт пониженные взносы, но требует не менее 7 человек в штате. Нас двое-трое.</t>
        </is>
      </c>
    </row>
    <row r="74">
      <c r="A74" s="5" t="inlineStr">
        <is>
          <t>Товарный знак — это не формальность, а защита названия</t>
        </is>
      </c>
    </row>
    <row r="75" ht="46" customHeight="1">
      <c r="A75" s="6" t="inlineStr">
        <is>
          <t>Пока знак не зарегистрирован, «Компас» может занять кто угодно, и придётся менять название вместе с доменом и накопленной узнаваемостью. Сроки — около года, поэтому подавать надо сейчас, а не когда появится спор.</t>
        </is>
      </c>
    </row>
    <row r="77">
      <c r="A77" s="16" t="inlineStr">
        <is>
          <t>Источники, по которым проверены ставки (22 сентября 2026)</t>
        </is>
      </c>
    </row>
    <row r="78">
      <c r="A78" s="2" t="inlineStr">
        <is>
          <t>— ФЗ от 28.11.2025 № 425-ФЗ — взносы с МРОТ за руководителя (п. 1 ст. 421 НК РФ)</t>
        </is>
      </c>
    </row>
    <row r="79">
      <c r="A79" s="2" t="inlineStr">
        <is>
          <t>— ФЗ от 28.11.2025 № 429-ФЗ — МРОТ 27 093 ₽</t>
        </is>
      </c>
    </row>
    <row r="80">
      <c r="A80" s="2" t="inlineStr">
        <is>
          <t>— ФЗ от 04.07.2026 № 228-ФЗ — порог НДС 20 млн ₽ заморожен до конца 2029 года</t>
        </is>
      </c>
    </row>
    <row r="81">
      <c r="A81" s="2" t="inlineStr">
        <is>
          <t>— Распоряжение Президента РФ от 31.12.2025 № 1705 — предельная база взносов 2 979 000 ₽</t>
        </is>
      </c>
    </row>
    <row r="82">
      <c r="A82" s="2" t="inlineStr">
        <is>
          <t>— ст. 346.20 НК РФ — ставки УСН; ст. 122 НК РФ — штраф за неуплату</t>
        </is>
      </c>
    </row>
    <row r="83">
      <c r="A83" s="2" t="inlineStr">
        <is>
          <t>— 54-ФЗ — применение контрольно-кассовой техники при расчётах с физлицами</t>
        </is>
      </c>
    </row>
  </sheetData>
  <mergeCells count="22">
    <mergeCell ref="A66:C66"/>
    <mergeCell ref="B7:C7"/>
    <mergeCell ref="A75:C75"/>
    <mergeCell ref="A56:C56"/>
    <mergeCell ref="A50:C50"/>
    <mergeCell ref="A26:C26"/>
    <mergeCell ref="B39:C39"/>
    <mergeCell ref="A32:C32"/>
    <mergeCell ref="A62:C62"/>
    <mergeCell ref="A53:C53"/>
    <mergeCell ref="A35:C35"/>
    <mergeCell ref="A29:C29"/>
    <mergeCell ref="A4:C4"/>
    <mergeCell ref="B8:C8"/>
    <mergeCell ref="A72:C72"/>
    <mergeCell ref="B38:C38"/>
    <mergeCell ref="B37:C37"/>
    <mergeCell ref="A59:C59"/>
    <mergeCell ref="B6:C6"/>
    <mergeCell ref="B5:C5"/>
    <mergeCell ref="B36:C36"/>
    <mergeCell ref="A69:C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2026-09-22T21:52:29Z</dcterms:created>
  <dcterms:modified xsi:type="dcterms:W3CDTF">2026-09-22T21:52:29Z</dcterms:modified>
</cp:coreProperties>
</file>