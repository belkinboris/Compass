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тоги" sheetId="1" state="visible" r:id="rId3"/>
    <sheet name="Единица экономики" sheetId="2" state="visible" r:id="rId4"/>
    <sheet name="Допущения" sheetId="3" state="visible" r:id="rId5"/>
    <sheet name="Расчёт 790 ₽" sheetId="4" state="visible" r:id="rId6"/>
    <sheet name="Расчёт 990 ₽" sheetId="5" state="visible" r:id="rId7"/>
    <sheet name="Расчёт 1490 ₽" sheetId="6" state="visible" r:id="rId8"/>
    <sheet name="Налоги и риски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<sst xmlns="http://schemas.openxmlformats.org/spreadsheetml/2006/main" count="560" uniqueCount="347">
  <si>
    <t xml:space="preserve">«Компас» — финансовая модель на 24 месяца, продажа физическим лицам</t>
  </si>
  <si>
    <t xml:space="preserve">Октябрь 2026 — сентябрь 2028. Составлено 22 сентября 2026. Три колонки — три цены подписки.</t>
  </si>
  <si>
    <t xml:space="preserve">Один подписчик</t>
  </si>
  <si>
    <t xml:space="preserve">Показатель</t>
  </si>
  <si>
    <t xml:space="preserve">790 ₽</t>
  </si>
  <si>
    <t xml:space="preserve">990 ₽</t>
  </si>
  <si>
    <t xml:space="preserve">1490 ₽</t>
  </si>
  <si>
    <t xml:space="preserve">Что это значит</t>
  </si>
  <si>
    <t xml:space="preserve">Вклад одного подписчика в месяц</t>
  </si>
  <si>
    <t xml:space="preserve">Платёж минус комиссия, возвраты и ассистент.</t>
  </si>
  <si>
    <t xml:space="preserve">Сколько он принесёт за всю жизнь (LTV)</t>
  </si>
  <si>
    <t xml:space="preserve">Вклад, делённый на отток.</t>
  </si>
  <si>
    <t xml:space="preserve">Сколько стоит его привести (CAC)</t>
  </si>
  <si>
    <t xml:space="preserve">Через платное продвижение по нынешней цене регистрации.</t>
  </si>
  <si>
    <t xml:space="preserve">LTV ÷ CAC</t>
  </si>
  <si>
    <t xml:space="preserve">Ниже 1 — платное привлечение сжигает деньги. Здоровая подписка — от 3.</t>
  </si>
  <si>
    <t xml:space="preserve">Порог безубыточности, подписчиков</t>
  </si>
  <si>
    <t xml:space="preserve">Сколько платящих людей нужно, чтобы перестать терять деньги, пока нет разработчика.</t>
  </si>
  <si>
    <t xml:space="preserve">  то же с разработчиком за 50 тыс ₽</t>
  </si>
  <si>
    <t xml:space="preserve">Месяцы с 4-го по 12-й.</t>
  </si>
  <si>
    <t xml:space="preserve">  то же с разработчиком за 100 тыс ₽</t>
  </si>
  <si>
    <t xml:space="preserve">С 13-го месяца. Разница с двумя строками выше — цена решения, выраженная в людях.</t>
  </si>
  <si>
    <t xml:space="preserve">Что выходит за два года</t>
  </si>
  <si>
    <t xml:space="preserve">Платящих через 12 месяцев</t>
  </si>
  <si>
    <t xml:space="preserve">Платящих через 24 месяца</t>
  </si>
  <si>
    <t xml:space="preserve">Главное число модели: всё остальное считается от него.</t>
  </si>
  <si>
    <t xml:space="preserve">Зарегистрировано всего за 24 месяца</t>
  </si>
  <si>
    <t xml:space="preserve">Органика плюс платное продвижение.</t>
  </si>
  <si>
    <t xml:space="preserve">Выручка за 12 месяцев</t>
  </si>
  <si>
    <t xml:space="preserve">Выручка за 24 месяца</t>
  </si>
  <si>
    <t xml:space="preserve">Расходы за 24 месяца</t>
  </si>
  <si>
    <t xml:space="preserve">Налоги за 24 месяца</t>
  </si>
  <si>
    <t xml:space="preserve">УСН плюс НДС после порога. Первый год — минимальный налог 1% с дохода.</t>
  </si>
  <si>
    <t xml:space="preserve">Взносы за гендиректора за 24 месяца</t>
  </si>
  <si>
    <t xml:space="preserve">Цена решения «не заключать трудовой договор». С 2026 года она не ноль.</t>
  </si>
  <si>
    <t xml:space="preserve">Чистая прибыль за 24 месяца</t>
  </si>
  <si>
    <t xml:space="preserve">Деньги на конец 24-го месяца</t>
  </si>
  <si>
    <t xml:space="preserve">Отрицательное число — столько денег не хватило.</t>
  </si>
  <si>
    <t xml:space="preserve">Три числа, которые решают всё</t>
  </si>
  <si>
    <t xml:space="preserve">Месяц выхода в прибыль</t>
  </si>
  <si>
    <t xml:space="preserve">Первый месяц, в котором чистая прибыль положительна.</t>
  </si>
  <si>
    <t xml:space="preserve">Месяц, когда деньги уходят в минус</t>
  </si>
  <si>
    <t xml:space="preserve">До этого месяца нужно либо выйти в плюс, либо найти деньги.</t>
  </si>
  <si>
    <t xml:space="preserve">Сколько денег нужно сверх стартовых</t>
  </si>
  <si>
    <t xml:space="preserve">Самая глубокая точка минуса. Ноль означает, что стартовых хватило.</t>
  </si>
  <si>
    <t xml:space="preserve">Как читать эту таблицу</t>
  </si>
  <si>
    <t xml:space="preserve">•</t>
  </si>
  <si>
    <t xml:space="preserve">Сравнивать цены по выручке — ошибка. Смотрите на две строки: «LTV ÷ CAC» (сходится ли один человек) и «месяц выхода в прибыль» (доживаем ли мы до него на своих деньгах).</t>
  </si>
  <si>
    <t xml:space="preserve">Дорогая подписка приносит больше с человека, но людей, готовых её купить, меньше, они дольше решаются и стоят дороже в привлечении. Дешёвая — наоборот. Именно поэтому в допущениях у каждой цены свои воронка и отток, а не одни на три колонки.</t>
  </si>
  <si>
    <t xml:space="preserve">Если «LTV ÷ CAC» ниже единицы у всех трёх цен — это не приговор цене, это приговор ПЛАТНОМУ привлечению по нынешней его стоимости. Органический рост живёт по другой арифметике, и порог безубыточности показывает, сколько людей для него нужно.</t>
  </si>
  <si>
    <t xml:space="preserve">Меняйте только жёлтые клетки на листе «Допущения». Числа, помеченные «УТОЧНИТЬ», — мои оценки: хостинг, Яндекс AI, API-ФНС, деньги на старте.</t>
  </si>
  <si>
    <t xml:space="preserve">Лист «Налоги и риски» читать обязательно: там про взносы за гендиректора и про то, что добавляет именно продажа физлицам — чеки, возвраты, персональные данные.</t>
  </si>
  <si>
    <t xml:space="preserve">Единица экономики: сходится ли один подписчик</t>
  </si>
  <si>
    <t xml:space="preserve">Здесь нет роста и нет воронки — только один человек и деньги вокруг него. Если тут не сходится, никакой рост не поможет.</t>
  </si>
  <si>
    <t xml:space="preserve">Как считается и что значит</t>
  </si>
  <si>
    <t xml:space="preserve">Что приносит один подписчик</t>
  </si>
  <si>
    <t xml:space="preserve">Средний платёж в месяц</t>
  </si>
  <si>
    <t xml:space="preserve">Помесячные и годовые вперемешку: годовая подписка признаётся по 1/12 в месяц. Доля годовых взята на конец второго года.</t>
  </si>
  <si>
    <t xml:space="preserve">минус комиссия за приём платежа</t>
  </si>
  <si>
    <t xml:space="preserve">Карты физлиц. Перевод людей на СБП — самая дешёвая правка в этой таблице: комиссия падает с 3% до 0,4–0,7%.</t>
  </si>
  <si>
    <t xml:space="preserve">минус возвраты</t>
  </si>
  <si>
    <t xml:space="preserve">Закон о защите прав потребителей: физлицо вправе отказаться от неиспользованного периода.</t>
  </si>
  <si>
    <t xml:space="preserve">минус ассистент на этого подписчика</t>
  </si>
  <si>
    <t xml:space="preserve">Единственный расход, который растёт вместе с числом людей.</t>
  </si>
  <si>
    <t xml:space="preserve">ВКЛАД ОДНОГО ПОДПИСЧИКА В МЕСЯЦ</t>
  </si>
  <si>
    <t xml:space="preserve">Столько он приносит на покрытие постоянных расходов.</t>
  </si>
  <si>
    <t xml:space="preserve">Сколько он живёт и сколько стоит его привести</t>
  </si>
  <si>
    <t xml:space="preserve">Срок жизни подписки, месяцев</t>
  </si>
  <si>
    <t xml:space="preserve">Обратная величина оттока.</t>
  </si>
  <si>
    <t xml:space="preserve">Вклад в месяц, делённый на отток.</t>
  </si>
  <si>
    <t xml:space="preserve">Сколько стоит привести одного платящего (CAC)</t>
  </si>
  <si>
    <t xml:space="preserve">Стоимость регистрации, делённая на долю тех, кто начинает платить. Платит-то не каждый зарегистрировавшийся, поэтому CAC во много раз больше цены регистрации.</t>
  </si>
  <si>
    <t xml:space="preserve">Ниже 1 — привлечение сжигает деньги. Обычный ориентир здоровой подписки — 3 и выше.</t>
  </si>
  <si>
    <t xml:space="preserve">Окупаемость привлечения, месяцев</t>
  </si>
  <si>
    <t xml:space="preserve">Сколько месяцев подписчик отрабатывает собственное привлечение. Больше срока жизни — не отрабатывает никогда.</t>
  </si>
  <si>
    <t xml:space="preserve">Цена регистрации, при которой привлечение окупается втрое</t>
  </si>
  <si>
    <t xml:space="preserve">Вот к какому числу нужно привести стоимость посева, чтобы платное продвижение имело смысл. Сравните с жёлтой клеткой «стоимость одной регистрации» в допущениях.</t>
  </si>
  <si>
    <t xml:space="preserve">Когда бизнес перестаёт быть убыточным</t>
  </si>
  <si>
    <t xml:space="preserve">Постоянные расходы в месяц</t>
  </si>
  <si>
    <t xml:space="preserve">Всё, что платится независимо от числа подписчиков, включая обязательные взносы за гендиректора и платное продвижение.</t>
  </si>
  <si>
    <t xml:space="preserve">ПОРОГ БЕЗУБЫТОЧНОСТИ, подписчиков</t>
  </si>
  <si>
    <t xml:space="preserve">Столько платящих людей нужно, чтобы перестать терять деньги. Это самое понятное число во всей модели: его можно держать в голове и сверять с фактом каждый месяц.</t>
  </si>
  <si>
    <t xml:space="preserve">  то же с разработчиком за 50 тыс ₽ (месяцы 4–12)</t>
  </si>
  <si>
    <t xml:space="preserve">Столько платящих нужно, пока идёт первая ставка.</t>
  </si>
  <si>
    <t xml:space="preserve">  то же с разработчиком за 100 тыс ₽ (с 13-го месяца)</t>
  </si>
  <si>
    <t xml:space="preserve">А столько — когда ставка вырастет. Разница между этой строкой и строкой выше и есть цена решения нанять дороже, выраженная в людях, а не в рублях.</t>
  </si>
  <si>
    <t xml:space="preserve">Выручка на пороге, ₽ в месяц</t>
  </si>
  <si>
    <t xml:space="preserve">Через сколько месяцев туда попадаем</t>
  </si>
  <si>
    <t xml:space="preserve">Номер месяца от старта — из помесячного расчёта на соседнем листе.</t>
  </si>
  <si>
    <t xml:space="preserve">Сколько подписчиков — это 20 млн ₽ в год (порог НДС)</t>
  </si>
  <si>
    <t xml:space="preserve">Порог НДС в B2C далеко: при таком чеке до него нужны тысячи человек. Это редкий случай, когда низкая цена упрощает жизнь не только покупателю.</t>
  </si>
  <si>
    <t xml:space="preserve">Что из этого следует</t>
  </si>
  <si>
    <t xml:space="preserve">Сравните строку «LTV ÷ CAC» с единицей. Если она ниже — каждый рубль, потраченный на платное привлечение, возвращается не полностью, и наращивать бюджет продвижения означает быстрее терять деньги. Рост в этом случае бывает только органическим: свой канал, поисковая выдача, пересылки, упоминания — то, где регистрация стоит не денег, а нашего времени.</t>
  </si>
  <si>
    <t xml:space="preserve">Строка «цена регистрации, при которой привлечение окупается втрое» — это задача маркетингу, выраженная одним числом. Не «сделать красиво», а «привести регистрацию дешевле, чем столько».</t>
  </si>
  <si>
    <t xml:space="preserve">Порог безубыточности — это цель на ближайший год, и она измеряется людьми, а не рублями. Сотня платящих человек понятнее, чем миллион выручки.</t>
  </si>
  <si>
    <t xml:space="preserve">Отток важнее цены. Поднять цену на 25% легко посчитать, а снизить отток с 11% до 8% даёт больше — посмотрите, как меняется LTV при правке жёлтой клетки «отток».</t>
  </si>
  <si>
    <t xml:space="preserve">Допущения модели — продаём только физическим лицам</t>
  </si>
  <si>
    <t xml:space="preserve">Три колонки — три цены подписки. Каждая считается насквозь на своём листе.</t>
  </si>
  <si>
    <t xml:space="preserve">Жёлтые клетки можно менять. Всё остальное считается формулами.</t>
  </si>
  <si>
    <t xml:space="preserve">Составлено 22 сентября 2026. Ставки налогов проверены по источникам в этот день.</t>
  </si>
  <si>
    <t xml:space="preserve">Откуда число</t>
  </si>
  <si>
    <t xml:space="preserve">Цена</t>
  </si>
  <si>
    <t xml:space="preserve">Подписка, ₽ в месяц</t>
  </si>
  <si>
    <t xml:space="preserve">Три сценария, заданные вами. Для сравнения: СПАРК продаёт рабочее место от 100 тыс ₽ в год — это другой покупатель (компания, а не человек). Наши прямые соседи (Буракова, Aspring) бесплатны, потому что они приложение к каналу и к инвестбанку, а не самостоятельный продукт.</t>
  </si>
  <si>
    <t xml:space="preserve">Подписка, ₽ в год</t>
  </si>
  <si>
    <t xml:space="preserve">Десять месяцев по цене двенадцати. Для нас годовая оплата важнее скидки: это единственный источник оборотных денег, кроме собственных.</t>
  </si>
  <si>
    <t xml:space="preserve">Доля годовых подписок к 24-му месяцу</t>
  </si>
  <si>
    <t xml:space="preserve">Чем дороже месяц, тем заметнее выгода годовой оплаты, поэтому доля растёт вместе с ценой. Растёт линейно от нуля: в первые месяцы человек платит помесячно, пока не убедился.</t>
  </si>
  <si>
    <t xml:space="preserve">Как ведёт себя подписчик-человек</t>
  </si>
  <si>
    <t xml:space="preserve">Отток в месяц (помесячные подписки)</t>
  </si>
  <si>
    <t xml:space="preserve">Главное отличие B2C от продажи компаниям: платит человек из своего кармана и уходит легко. 11% в месяц — это около 9 месяцев жизни подписки, 8,5% — около года. Дешёвая подписка отваливается чаще, потому что решение о ней принимается легче. Проверять фактом с третьего месяца продаж: это число решает всё.</t>
  </si>
  <si>
    <t xml:space="preserve">Возвраты, доля выручки</t>
  </si>
  <si>
    <t xml:space="preserve">Продажа физлицу подпадает под закон о защите прав потребителей: человек вправе отказаться и потребовать деньги за неиспользованный период. 2% — рабочая прикидка, заменить фактом.</t>
  </si>
  <si>
    <t xml:space="preserve">Воронка</t>
  </si>
  <si>
    <t xml:space="preserve">Потолок: сколько человек в России ВООБЩЕ может это купить</t>
  </si>
  <si>
    <t xml:space="preserve">Считаем от своей же базы, а не с потолка. Ядро: 286 консультационных фирм названы в наших сделках поимённо (164 юридических, 122 финансовых) — примерно по 5 человек, это ≈1 400; корпоративное развитие у ~700 компаний-покупателей, по 2 человека — ещё ≈1 400; фонды, оценщики, инхаус-юристы — ≈600. Ядро ≈3 400 человек. Остальное — те, для кого рынок сделок профессиональный интерес, а не ежедневная работа: аналитики, деловые журналисты, преподаватели и студенты профильных программ, частные инвесторы. Именно их открывает цена 790–1490 ₽, и именно поэтому при 1490 ₽ потолок ниже: студент и частный инвестор отпадают. САМОЕ ЗЫБКОЕ ЧИСЛО МОДЕЛИ.</t>
  </si>
  <si>
    <t xml:space="preserve">Максимальная доля платящих от потолка</t>
  </si>
  <si>
    <t xml:space="preserve">Сколько из тех, кто в принципе может купить, купит за два года. Дешевле — больше.</t>
  </si>
  <si>
    <t xml:space="preserve">Органических регистраций в месяц на старте</t>
  </si>
  <si>
    <t xml:space="preserve">Наш факт: 16 одобренных аккаунтов за 7 недель закрытого теста (≈10 в месяц) — и это с дверью «Запросить доступ» и без единого рубля на продвижение. Снимаем дверь, включаем канал и поиск — берём 25 с запасом на первый месяц.</t>
  </si>
  <si>
    <t xml:space="preserve">Прирост органики в месяц</t>
  </si>
  <si>
    <t xml:space="preserve">Свой канал, пересылки, поисковая выдача. Гасится по мере заполнения рынка: чем меньше осталось незарегистрированных, тем медленнее растём.</t>
  </si>
  <si>
    <t xml:space="preserve">Стоимость одной регистрации из платного продвижения, ₽</t>
  </si>
  <si>
    <t xml:space="preserve">Посев в отраслевом телеграм-канале: 10–50 тыс ₽ за размещение, 20–60 регистраций. Чем дороже подписка, тем уже аудитория и дороже попадание. ЭТО ЧИСЛО НАДО ИЗМЕРИТЬ первым же посевом — от него зависит, имеет ли платное продвижение смысл вообще.</t>
  </si>
  <si>
    <t xml:space="preserve">Доля регистраций, которые начинают платить</t>
  </si>
  <si>
    <t xml:space="preserve">Платного доступа не было ни дня — число не измерено ничем. Для бесплатной регистрации с последующей платной подпиской 3–10% — обычная вилка. Дешевле — выше.</t>
  </si>
  <si>
    <t xml:space="preserve">Задержка от регистрации до оплаты, месяцев</t>
  </si>
  <si>
    <t xml:space="preserve">Человек смотрит, возвращается, ждёт повода. Чем дороже, тем дольше думает.</t>
  </si>
  <si>
    <t xml:space="preserve">Расходы, ₽ в месяц — по вашим счетам</t>
  </si>
  <si>
    <t xml:space="preserve">Хостинг Timeweb</t>
  </si>
  <si>
    <t xml:space="preserve">ВАШ СЧЁТ. Сервер приложения и база.</t>
  </si>
  <si>
    <t xml:space="preserve">Yandex.Cloud</t>
  </si>
  <si>
    <t xml:space="preserve">ВАШ СЧЁТ. Инфраструктура и модель ассистента.</t>
  </si>
  <si>
    <t xml:space="preserve">Claude (разработка)</t>
  </si>
  <si>
    <t xml:space="preserve">ВАШ СЧЁТ. Самая крупная статья из названных вами — больше, чем хостинг, облако, регистратор и офис вместе взятые.</t>
  </si>
  <si>
    <t xml:space="preserve">Регистратор Р.О.С.Т.</t>
  </si>
  <si>
    <t xml:space="preserve">ВАШ СЧЁТ: 9 000 ₽ в квартал. У АО реестр акционеров обязан вести лицензированный регистратор — у ООО такой статьи нет вовсе.</t>
  </si>
  <si>
    <t xml:space="preserve">Аренда офиса</t>
  </si>
  <si>
    <t xml:space="preserve">ВАШ СЧЁТ: 22 900 ₽ в год, то есть 1 908 ₽ в месяц.</t>
  </si>
  <si>
    <t xml:space="preserve">Ассистент на одного подписчика (сверх счёта Yandex.Cloud)</t>
  </si>
  <si>
    <t xml:space="preserve">Единственный расход, который растёт вместе с числом людей. Сегодняшние 7 000 ₽ — это счёт при полутора десятках аккаунтов; насколько вырастет квота на сотне платящих, НЕ ИЗМЕРЕНО. Дороже подписка — профессиональнее аудитория и длиннее запросы.</t>
  </si>
  <si>
    <t xml:space="preserve">Расходы, ₽ в месяц — мои прикидки, их надо заменить счетами</t>
  </si>
  <si>
    <t xml:space="preserve">API-ФНС (финансы компаний)</t>
  </si>
  <si>
    <t xml:space="preserve">Платный ключ куплен, годовая квота 3000 запросов. УТОЧНИТЬ фактическую стоимость.</t>
  </si>
  <si>
    <t xml:space="preserve">Онлайн-касса и чеки (54-ФЗ)</t>
  </si>
  <si>
    <t xml:space="preserve">ПОЯВЛЯЕТСЯ ИМЕННО ИЗ-ЗА B2C: приём денег от физлица требует фискального чека. Обычно чек выбивает платёжный сервис как агент — УТОЧНИТЬ это в договоре; если нет, нужна облачная касса с фискальным накопителем.</t>
  </si>
  <si>
    <t xml:space="preserve">Бухгалтерия на аутсорсе</t>
  </si>
  <si>
    <t xml:space="preserve">АО отчитывается сложнее ООО: раскрытие, реестр акционеров, ревизия. УТОЧНИТЬ.</t>
  </si>
  <si>
    <t xml:space="preserve">Юрист и патентный поверенный</t>
  </si>
  <si>
    <t xml:space="preserve">Товарный знак, оферта для физлиц, политика данных, согласия на рассылку. УТОЧНИТЬ.</t>
  </si>
  <si>
    <t xml:space="preserve">Платное продвижение</t>
  </si>
  <si>
    <t xml:space="preserve">Осознанно немного: на листе «Единица экономики» видно, что при нынешней цене регистрации платное привлечение не окупается ни при одной из трёх цен. Эти 30 тыс — на замер, а не на рост.</t>
  </si>
  <si>
    <t xml:space="preserve">Прочее (связь, сервисы, банк)</t>
  </si>
  <si>
    <t xml:space="preserve">УТОЧНИТЬ.</t>
  </si>
  <si>
    <t xml:space="preserve">Команда</t>
  </si>
  <si>
    <t xml:space="preserve">Зарплата гендиректора, ₽ в месяц</t>
  </si>
  <si>
    <t xml:space="preserve">ВАШЕ РЕШЕНИЕ: зарплату гендиректору не платим, а взносы за него платим. Ровно так модель и считает — ноль в этой клетке и полная строка взносов ниже. С 01.01.2026 взносы начисляются от МРОТ, даже когда выплат нет вовсе, поэтому отказ от зарплаты больше ничего не экономит — см. лист «Налоги и риски».</t>
  </si>
  <si>
    <t xml:space="preserve">Остальная команда (подряд, ₽ в месяц)</t>
  </si>
  <si>
    <t xml:space="preserve">Самозанятые и ИП по договорам: взносов нет, но нужен акт и чек по каждой выплате.</t>
  </si>
  <si>
    <t xml:space="preserve">Месяцев в начале вообще без разработчика</t>
  </si>
  <si>
    <t xml:space="preserve">ВАШЕ РЕШЕНИЕ. Первый квартал обходимся своими силами.</t>
  </si>
  <si>
    <t xml:space="preserve">Разработчик на аутсорсе, ₽ в месяц (первый этап)</t>
  </si>
  <si>
    <t xml:space="preserve">ВАШЕ РЕШЕНИЕ: девять месяцев по 50 тыс ₽. Взносов нет — это подряд с самозанятым или ИП, а не трудовой договор. Чем это может обернуться, если налоговая посмотрит иначе, — на листе «Налоги и риски».</t>
  </si>
  <si>
    <t xml:space="preserve">По какой месяц включительно платим первую ставку</t>
  </si>
  <si>
    <t xml:space="preserve">ВАШЕ РЕШЕНИЕ: месяцы с 4-го по 12-й, то есть девять месяцев.</t>
  </si>
  <si>
    <t xml:space="preserve">Разработчик на аутсорсе, ₽ в месяц (второй этап)</t>
  </si>
  <si>
    <t xml:space="preserve">ВАШЕ РЕШЕНИЕ: с 13-го месяца и дальше. Тоже на аутсорсе, тоже без взносов.</t>
  </si>
  <si>
    <t xml:space="preserve">Налоги и обязательные платежи (проверено 22.09.2026)</t>
  </si>
  <si>
    <t xml:space="preserve">Ставка УСН «доходы минус расходы»</t>
  </si>
  <si>
    <t xml:space="preserve">Ст. 346.20 НК РФ. Регион может снизить до 5% — ПРОВЕРИТЬ закон вашего субъекта.</t>
  </si>
  <si>
    <t xml:space="preserve">Минимальный налог, % от доходов</t>
  </si>
  <si>
    <t xml:space="preserve">Платится, если налог по ставке вышел меньше 1% доходов или получен убыток.</t>
  </si>
  <si>
    <t xml:space="preserve">Порог освобождения от НДС, ₽ в год</t>
  </si>
  <si>
    <t xml:space="preserve">Снижен с 60 до 20 млн с 01.01.2026 и заморожен до конца 2029 — ФЗ от 04.07.2026 № 228-ФЗ. Хорошая новость B2C: при таком чеке порог далеко — см. «Единица экономики».</t>
  </si>
  <si>
    <t xml:space="preserve">Ставка НДС после порога</t>
  </si>
  <si>
    <t xml:space="preserve">5% без права на вычеты при доходе 20–250 млн ₽ либо 22% с вычетами. Нам выгодна 5%: вычитать почти нечего, расходы идут без НДС.</t>
  </si>
  <si>
    <t xml:space="preserve">МРОТ, ₽ в месяц</t>
  </si>
  <si>
    <t xml:space="preserve">ФЗ от 28.11.2025 № 429-ФЗ.</t>
  </si>
  <si>
    <t xml:space="preserve">Тариф взносов на выплаты до 1,5 МРОТ</t>
  </si>
  <si>
    <t xml:space="preserve">Льгота МСП 15% действует только на часть СВЫШЕ 1,5 МРОТ (40 640 ₽).</t>
  </si>
  <si>
    <t xml:space="preserve">Комиссия за приём платежей</t>
  </si>
  <si>
    <t xml:space="preserve">Карты физлиц: 2,5–3,5%. СБП дешевле в разы (0,4–0,7%) — это единственный рычаг в этой строке, и в B2C он заметный: см. «Единица экономики».</t>
  </si>
  <si>
    <t xml:space="preserve">Стартовые условия</t>
  </si>
  <si>
    <t xml:space="preserve">Деньги на старте, ₽</t>
  </si>
  <si>
    <t xml:space="preserve">УТОЧНИТЬ. От этого числа зависит, в каком месяце кончаются деньги.</t>
  </si>
  <si>
    <t xml:space="preserve">Платящих подписчиков на старте</t>
  </si>
  <si>
    <t xml:space="preserve">Платного доступа сейчас нет ни у кого: 16 аккаунтов — закрытый тест по заявке.</t>
  </si>
  <si>
    <t xml:space="preserve">Что в модели НЕ учтено — и это сказано нарочно</t>
  </si>
  <si>
    <t xml:space="preserve">Продажа компаниям. Вы решили начинать с физлиц; лицензия на отдел даёт чек в разы выше, но это другой цикл сделки и другой продавец. Это запас, а не план.</t>
  </si>
  <si>
    <t xml:space="preserve">Гранты и субсидии для ИТ. Аккредитация Минцифры требует не менее 7 человек в штате.</t>
  </si>
  <si>
    <t xml:space="preserve">Реклама и партнёрства: на аудитории меньше тысячи человек это не деньги, а отвлечение.</t>
  </si>
  <si>
    <t xml:space="preserve">Разовые продажи обзоров и выгрузок. Деньги приходят раньше подписки, но выручка неровная и продавать их некому, пока нет аудитории.</t>
  </si>
  <si>
    <t xml:space="preserve">Расчёт по месяцам — подписка 790 ₽ в месяц</t>
  </si>
  <si>
    <t xml:space="preserve">Каждая клетка — формула от листа «Допущения», колонка B. Меняете там — меняется здесь.</t>
  </si>
  <si>
    <t xml:space="preserve">Месяц</t>
  </si>
  <si>
    <t xml:space="preserve">окт 2026</t>
  </si>
  <si>
    <t xml:space="preserve">ноя 2026</t>
  </si>
  <si>
    <t xml:space="preserve">дек 2026</t>
  </si>
  <si>
    <t xml:space="preserve">янв 2027</t>
  </si>
  <si>
    <t xml:space="preserve">фев 2027</t>
  </si>
  <si>
    <t xml:space="preserve">мар 2027</t>
  </si>
  <si>
    <t xml:space="preserve">апр 2027</t>
  </si>
  <si>
    <t xml:space="preserve">май 2027</t>
  </si>
  <si>
    <t xml:space="preserve">июн 2027</t>
  </si>
  <si>
    <t xml:space="preserve">июл 2027</t>
  </si>
  <si>
    <t xml:space="preserve">авг 2027</t>
  </si>
  <si>
    <t xml:space="preserve">сен 2027</t>
  </si>
  <si>
    <t xml:space="preserve">окт 2027</t>
  </si>
  <si>
    <t xml:space="preserve">ноя 2027</t>
  </si>
  <si>
    <t xml:space="preserve">дек 2027</t>
  </si>
  <si>
    <t xml:space="preserve">янв 2028</t>
  </si>
  <si>
    <t xml:space="preserve">фев 2028</t>
  </si>
  <si>
    <t xml:space="preserve">мар 2028</t>
  </si>
  <si>
    <t xml:space="preserve">апр 2028</t>
  </si>
  <si>
    <t xml:space="preserve">май 2028</t>
  </si>
  <si>
    <t xml:space="preserve">июн 2028</t>
  </si>
  <si>
    <t xml:space="preserve">июл 2028</t>
  </si>
  <si>
    <t xml:space="preserve">авг 2028</t>
  </si>
  <si>
    <t xml:space="preserve">сен 2028</t>
  </si>
  <si>
    <t xml:space="preserve">Зарегистрировано всего (накопленно)</t>
  </si>
  <si>
    <t xml:space="preserve">  из них органических за месяц</t>
  </si>
  <si>
    <t xml:space="preserve">  из них из платного продвижения</t>
  </si>
  <si>
    <t xml:space="preserve">Бюджет продвижения, делённый на стоимость одной регистрации. Вот здесь деньги превращаются в людей — и здесь же видно, во сколько это обходится.</t>
  </si>
  <si>
    <t xml:space="preserve">Регистраций за месяц</t>
  </si>
  <si>
    <t xml:space="preserve"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</si>
  <si>
    <t xml:space="preserve">Новых платящих за месяц</t>
  </si>
  <si>
    <t xml:space="preserve">Регистрация превращается в оплату не сразу: воронка с задержкой из допущений.</t>
  </si>
  <si>
    <t xml:space="preserve">Платящих всего на конец месяца</t>
  </si>
  <si>
    <t xml:space="preserve">Годовые подписки не отваливаются помесячно — доля годовых растёт линейно и гасит отток.</t>
  </si>
  <si>
    <t xml:space="preserve">Выручка</t>
  </si>
  <si>
    <t xml:space="preserve">Выручка за месяц</t>
  </si>
  <si>
    <t xml:space="preserve">Годовая подписка признаётся равномерно (1/12 в месяц) — так честнее для P&amp;L. Деньгами она приходит сразу, это видно в строке ниже.</t>
  </si>
  <si>
    <t xml:space="preserve">Поступило денег за месяц</t>
  </si>
  <si>
    <t xml:space="preserve">Годовые подписчики платят за год вперёд: в месяц продажи приходит вся сумма.</t>
  </si>
  <si>
    <t xml:space="preserve">Расходы</t>
  </si>
  <si>
    <t xml:space="preserve">Счёт облака плюс переменная часть на каждого платящего подписчика.</t>
  </si>
  <si>
    <t xml:space="preserve">API-ФНС</t>
  </si>
  <si>
    <t xml:space="preserve">Статья, которой не было бы при продаже компаниям по счёту.</t>
  </si>
  <si>
    <t xml:space="preserve">Бухгалтерия</t>
  </si>
  <si>
    <t xml:space="preserve">Регистратор Р.О.С.Т. (АО)</t>
  </si>
  <si>
    <t xml:space="preserve">Юрист и товарный знак</t>
  </si>
  <si>
    <t xml:space="preserve">Прочее</t>
  </si>
  <si>
    <t xml:space="preserve">Возвраты</t>
  </si>
  <si>
    <t xml:space="preserve">Право физлица отказаться от неиспользованного периода.</t>
  </si>
  <si>
    <t xml:space="preserve">Зарплата гендиректора</t>
  </si>
  <si>
    <t xml:space="preserve">Команда на подряде</t>
  </si>
  <si>
    <t xml:space="preserve">Разработчик на аутсорсе</t>
  </si>
  <si>
    <t xml:space="preserve">Лесенка вместо одной ставки: первый квартал без разработчика, затем девять месяцев по первой ставке, с 13-го месяца — по второй. Взносов нет: это подряд, а не трудовой договор.</t>
  </si>
  <si>
    <t xml:space="preserve">Страховые взносы за гендиректора</t>
  </si>
  <si>
    <t xml:space="preserve">ОБЯЗАТЕЛЬНЫ С 01.01.2026 даже без трудового договора и без зарплаты: ФЗ от 28.11.2025 № 425-ФЗ изменил п. 1 ст. 421 НК РФ. Подробности — на листе «Налоги и риски».</t>
  </si>
  <si>
    <t xml:space="preserve">Расходы всего</t>
  </si>
  <si>
    <t xml:space="preserve">Налоги</t>
  </si>
  <si>
    <t xml:space="preserve">Доход накопленным итогом за год</t>
  </si>
  <si>
    <t xml:space="preserve">Год считается календарный: старт в октябре, поэтому первый календарный год у нас три месяца, а полный год начинается с января.</t>
  </si>
  <si>
    <t xml:space="preserve">НДС</t>
  </si>
  <si>
    <t xml:space="preserve">Пока доход с начала года не перевалил за 20 млн ₽ — НДС нет вовсе.</t>
  </si>
  <si>
    <t xml:space="preserve">База УСН (доходы минус расходы)</t>
  </si>
  <si>
    <t xml:space="preserve">Налог УСН</t>
  </si>
  <si>
    <t xml:space="preserve">Большее из двух: 15% с разницы или 1% с дохода. В убыточные месяцы платится минимальный налог — его платят и при убытке, это регулярно забывают.</t>
  </si>
  <si>
    <t xml:space="preserve">Налоги всего</t>
  </si>
  <si>
    <t xml:space="preserve">Итог</t>
  </si>
  <si>
    <t xml:space="preserve">Прибыль до налогов</t>
  </si>
  <si>
    <t xml:space="preserve">Чистая прибыль</t>
  </si>
  <si>
    <t xml:space="preserve">Денежный поток за месяц</t>
  </si>
  <si>
    <t xml:space="preserve">Деньги на конец месяца</t>
  </si>
  <si>
    <t xml:space="preserve">Месяц, в котором это число уходит в минус, — тот, до которого нужны деньги.</t>
  </si>
  <si>
    <t xml:space="preserve">Расчёт по месяцам — подписка 990 ₽ в месяц</t>
  </si>
  <si>
    <t xml:space="preserve">Каждая клетка — формула от листа «Допущения», колонка C. Меняете там — меняется здесь.</t>
  </si>
  <si>
    <t xml:space="preserve">Расчёт по месяцам — подписка 1490 ₽ в месяц</t>
  </si>
  <si>
    <t xml:space="preserve">Каждая клетка — формула от листа «Допущения», колонка D. Меняете там — меняется здесь.</t>
  </si>
  <si>
    <t xml:space="preserve">Налоги и риски: что проверено и что изменилось</t>
  </si>
  <si>
    <t xml:space="preserve">Числа взяты из колонки «990 ₽» — ставки во всех трёх сценариях одинаковые.</t>
  </si>
  <si>
    <t xml:space="preserve">ГЛАВНОЕ: замысел «не заключать трудовой договор с гендиректором, чтобы не платить взносы» с 1 января 2026 года больше не работает</t>
  </si>
  <si>
    <t xml:space="preserve">ФЗ от 28.11.2025 № 425-ФЗ изменил пункт 1 статьи 421 НК РФ. С 01.01.2026: если за месяц единоличному исполнительному органу коммерческой организации начислено выплат меньше МРОТ, страховые взносы считаются исходя из МРОТ.</t>
  </si>
  <si>
    <t xml:space="preserve">Норма не спрашивает, есть ли трудовой договор. Она привязана к самому факту исполнения полномочий руководителя. Отсутствие договора и отсутствие зарплаты больше не спасают.</t>
  </si>
  <si>
    <t xml:space="preserve">Правило касается всех коммерческих организаций, АО в том числе. Исключений по форме нет.</t>
  </si>
  <si>
    <t xml:space="preserve">Значит, экономия, ради которой затевался отказ от трудового договора, равна нулю — а риск остался: если взносы не платить, при проверке доначислят их же, плюс пени и штраф.</t>
  </si>
  <si>
    <t xml:space="preserve">Сколько это стоит</t>
  </si>
  <si>
    <t xml:space="preserve">Значение</t>
  </si>
  <si>
    <t xml:space="preserve">Как считается</t>
  </si>
  <si>
    <t xml:space="preserve">МРОТ 2026, ₽ в месяц</t>
  </si>
  <si>
    <t xml:space="preserve">ФЗ от 28.11.2025 № 429-ФЗ</t>
  </si>
  <si>
    <t xml:space="preserve">Тариф взносов</t>
  </si>
  <si>
    <t xml:space="preserve">30% в пределах базы 2 979 000 ₽. Льгота МСП 15% не применяется: она действует только на выплаты СВЫШЕ 1,5 МРОТ (40 640 ₽), а МРОТ ниже этой границы.</t>
  </si>
  <si>
    <t xml:space="preserve">Взносы за гендиректора, ₽ в месяц</t>
  </si>
  <si>
    <t xml:space="preserve">МРОТ × тариф</t>
  </si>
  <si>
    <t xml:space="preserve">Взносы за гендиректора, ₽ в год</t>
  </si>
  <si>
    <t xml:space="preserve">Это цена решения «не платить зарплату». Раньше она была нулём.</t>
  </si>
  <si>
    <t xml:space="preserve">За двоих руководителей, ₽ в год</t>
  </si>
  <si>
    <t xml:space="preserve">Если руководителей двое, считается по каждому.</t>
  </si>
  <si>
    <t xml:space="preserve">Если всё-таки не платить: во что обойдётся проверка</t>
  </si>
  <si>
    <t xml:space="preserve">Недоимка за 3 года (глубина проверки)</t>
  </si>
  <si>
    <t xml:space="preserve">Выездная проверка охватывает три года, предшествующих году её назначения.</t>
  </si>
  <si>
    <t xml:space="preserve">Штраф 20% от неуплаченного</t>
  </si>
  <si>
    <t xml:space="preserve">П. 1 ст. 122 НК РФ. Если докажут умысел — 40%.</t>
  </si>
  <si>
    <t xml:space="preserve">Пени (ориентир, ~16% годовых в среднем за период)</t>
  </si>
  <si>
    <t xml:space="preserve">Считаются по ключевой ставке за каждый день просрочки; здесь грубая прикидка.</t>
  </si>
  <si>
    <t xml:space="preserve">Итого при худшем исходе</t>
  </si>
  <si>
    <t xml:space="preserve">Против нуля экономии. Поэтому в модели взносы стоят в расходах с первого месяца.</t>
  </si>
  <si>
    <t xml:space="preserve">Что с этим делать — три варианта, по возрастанию выгоды</t>
  </si>
  <si>
    <t xml:space="preserve">1. Оставить как есть: без договора, взносы с МРОТ</t>
  </si>
  <si>
    <t xml:space="preserve">Платим 8 128 ₽ в месяц и спим спокойно. Трудового договора нет, зарплаты нет, но взносы начисляем и сдаём отчётность. Самый простой путь, и он уже заложен в модель.</t>
  </si>
  <si>
    <t xml:space="preserve">2. Заключить трудовой договор на МРОТ</t>
  </si>
  <si>
    <t xml:space="preserve">Та же сумма взносов (база одна — МРОТ), но появляется зарплата 27 093 ₽ и НДФЛ с неё. Зато исчезает спор о статусе, а зарплата попадает в расходы УСН и уменьшает налог: при ставке 15% это возвращает около 4 тыс ₽ в месяц. То есть вариант дешевле первого.</t>
  </si>
  <si>
    <t xml:space="preserve">3. Посмотреть на АУСН — там взносы 0%</t>
  </si>
  <si>
    <t xml:space="preserve">Автоматизированная УСН: тариф страховых взносов 0%, остаётся взнос на травматизм 2 959 ₽ в год. Ограничения: доход до 60 млн ₽, до 5 человек, режим действует не во всех регионах. На нашем масштабе подходит и экономит около 97 тыс ₽ в год только на гендиректоре. ПРОВЕРИТЬ: действует ли АУСН в вашем регионе и вправе ли АО его применять.</t>
  </si>
  <si>
    <t xml:space="preserve">Разработчик на аутсорсе: где здесь риск</t>
  </si>
  <si>
    <t xml:space="preserve">Вы решили платить разработчику по договору подряда — самозанятому или ИП, без страховых взносов. Это законно и обычно. Но именно у этой схемы есть признаки, по которым налоговая переквалифицирует отношения в трудовые, и два из них у нас будут:</t>
  </si>
  <si>
    <t xml:space="preserve">Одинаковая сумма каждый месяц подряд много месяцев — это выглядит как оклад, а не как оплата за результат.</t>
  </si>
  <si>
    <t xml:space="preserve">Единственный заказчик у исполнителя. Если мы для него один источник дохода, довод «это самостоятельная деятельность» слабеет.</t>
  </si>
  <si>
    <t xml:space="preserve">Что снимает риск: договор на конкретный результат, а не на «выполнение работ»; акт по каждой сдаче с перечнем сделанного; разные суммы; отсутствие графика, рабочего места и подчинения. Чек от самозанятого — обязателен на каждую выплату.</t>
  </si>
  <si>
    <t xml:space="preserve">Если исполнитель — самозанятый и он же был нашим работником в последние два года, его доход НЕЛЬЗЯ облагать налогом на профессиональный доход: закон это прямо запрещает, и взносы придётся платить в любом случае.</t>
  </si>
  <si>
    <t xml:space="preserve">Во что обойдётся переквалификация за два года</t>
  </si>
  <si>
    <t xml:space="preserve">Выплачено разработчику за 24 месяца</t>
  </si>
  <si>
    <t xml:space="preserve">Девять месяцев по первой ставке плюс двенадцать по второй.</t>
  </si>
  <si>
    <t xml:space="preserve">Взносы, если отношения признают трудовыми</t>
  </si>
  <si>
    <t xml:space="preserve">30% на всю сумму выплат: переквалификация действует задним числом.</t>
  </si>
  <si>
    <t xml:space="preserve">П. 1 ст. 122 НК РФ.</t>
  </si>
  <si>
    <t xml:space="preserve">Итого к доплате при худшем исходе</t>
  </si>
  <si>
    <t xml:space="preserve">Плюс пени и плюс ответственность налогового агента по НДФЛ, если исполнитель окажется не самозанятым и не ИП. Это не довод против аутсорса — это довод за аккуратные договор и акты.</t>
  </si>
  <si>
    <t xml:space="preserve">Что добавляет продажа именно физическим лицам</t>
  </si>
  <si>
    <t xml:space="preserve">Фискальный чек на каждый платёж (54-ФЗ)</t>
  </si>
  <si>
    <t xml:space="preserve">Приём денег от физлица требует чека. Обычно его выбивает платёжный сервис как агент — ПРОВЕРИТЬ это прямо в договоре с провайдером. Если сервис чеки не выбивает, нужна облачная касса с фискальным накопителем: это 2–3 тыс ₽ в месяц и отдельная настройка. При продаже компаниям по счёту этой статьи не существует вовсе.</t>
  </si>
  <si>
    <t xml:space="preserve">Закон о защите прав потребителей сильнее нашей оферты</t>
  </si>
  <si>
    <t xml:space="preserve">Условия, ухудшающие положение потребителя по сравнению с законом, ничтожны — как бы аккуратно они ни были написаны в оферте. Человек вправе отказаться от подписки и вернуть деньги за неиспользованный период. В модели на это заложено 2% выручки; оферту должен смотреть юрист именно под физлиц, а не под компании.</t>
  </si>
  <si>
    <t xml:space="preserve">Персональные данные: физлиц много, и согласия нужны настоящие</t>
  </si>
  <si>
    <t xml:space="preserve">Регистрация человека — это обработка персональных данных: нужны уведомление Роскомнадзора, политика обработки и отдельное согласие на рекламную рассылку (просто галочки при регистрации мало). Штрафы за рассылку без согласия выписывают по жалобе одного человека.</t>
  </si>
  <si>
    <t xml:space="preserve">Маркировка интернет-рекламы</t>
  </si>
  <si>
    <t xml:space="preserve">Любой посев в канале или таргет — это реклама, которую нужно маркировать и отчитываться о ней оператору рекламных данных. Это не деньги, а обязанность и время; поручать её площадке нужно письменно, иначе отвечаем мы.</t>
  </si>
  <si>
    <t xml:space="preserve">Зато НДС далеко</t>
  </si>
  <si>
    <t xml:space="preserve">Порог освобождения — 20 млн ₽ дохода в год. При чеке 790–1490 ₽ в месяц это тысячи подписчиков, до которых нам ещё идти. В продаже компаниям порог упирался бы в пару сотен клиентов. Смотрите строку «сколько подписчиков — это 20 млн ₽» на листе единицы экономики.</t>
  </si>
  <si>
    <t xml:space="preserve">Остальные налоговые узлы</t>
  </si>
  <si>
    <t xml:space="preserve">Минимальный налог платится и при убытке</t>
  </si>
  <si>
    <t xml:space="preserve">На «доходах минус расходах» платится большее из двух: 15% с разницы или 1% с дохода. Первый год убыточен, значит весь год платим 1% с выручки. В модели это учтено.</t>
  </si>
  <si>
    <t xml:space="preserve">У АО есть расходы, которых нет у ООО</t>
  </si>
  <si>
    <t xml:space="preserve">Реестр акционеров обязан вести лицензированный регистратор — отдельная строка расходов и отдельный договор. Плюс более сложная отчётность. Если АО заведено не ради будущего раунда, стоит пересчитать, зачем оно: ООО дешевле в содержании.</t>
  </si>
  <si>
    <t xml:space="preserve">Аккредитация Минцифры нам сейчас недоступна</t>
  </si>
  <si>
    <t xml:space="preserve">Она даёт пониженные взносы, но требует не менее 7 человек в штате. Нас двое-трое.</t>
  </si>
  <si>
    <t xml:space="preserve">Товарный знак — это не формальность, а защита названия</t>
  </si>
  <si>
    <t xml:space="preserve">Пока знак не зарегистрирован, «Компас» может занять кто угодно, и придётся менять название вместе с доменом и накопленной узнаваемостью. Сроки — около года, поэтому подавать надо сейчас, а не когда появится спор.</t>
  </si>
  <si>
    <t xml:space="preserve">Источники, по которым проверены ставки (22 сентября 2026)</t>
  </si>
  <si>
    <t xml:space="preserve">— ФЗ от 28.11.2025 № 425-ФЗ — взносы с МРОТ за руководителя (п. 1 ст. 421 НК РФ)</t>
  </si>
  <si>
    <t xml:space="preserve">— ФЗ от 28.11.2025 № 429-ФЗ — МРОТ 27 093 ₽</t>
  </si>
  <si>
    <t xml:space="preserve">— ФЗ от 04.07.2026 № 228-ФЗ — порог НДС 20 млн ₽ заморожен до конца 2029 года</t>
  </si>
  <si>
    <t xml:space="preserve">— Распоряжение Президента РФ от 31.12.2025 № 1705 — предельная база взносов 2 979 000 ₽</t>
  </si>
  <si>
    <t xml:space="preserve">— ст. 346.20 НК РФ — ставки УСН; ст. 122 НК РФ — штраф за неуплату</t>
  </si>
  <si>
    <t xml:space="preserve">— 54-ФЗ — применение контрольно-кассовой техники при расчётах с физлицами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</si>
</sst>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\ ##0&quot; ₽&quot;;[RED]\-#\ ##0&quot; ₽&quot;"/>
    <numFmt numFmtId="166" formatCode="0.00"/>
    <numFmt numFmtId="167" formatCode="#\ ##0;[RED]\-#\ ##0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5132"/>
      <name val="Calibri"/>
      <family val="0"/>
      <charset val="1"/>
    </font>
    <font>
      <sz val="9"/>
      <color rgb="FF6B6B6B"/>
      <name val="Calibri"/>
      <family val="0"/>
      <charset val="1"/>
    </font>
    <font>
      <b val="true"/>
      <sz val="11"/>
      <color rgb="FF1C2B25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9C3B1B"/>
      <name val="Calibri"/>
      <family val="0"/>
      <charset val="1"/>
    </font>
    <font>
      <b val="true"/>
      <sz val="11"/>
      <color rgb="FF0F5132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FEA"/>
        <bgColor rgb="FFFFF3CD"/>
      </patternFill>
    </fill>
    <fill>
      <patternFill patternType="solid">
        <fgColor rgb="FFFFF3CD"/>
        <bgColor rgb="FFE7EFE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F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F5132"/>
      <rgbColor rgb="FF333300"/>
      <rgbColor rgb="FF9C3B1B"/>
      <rgbColor rgb="FF993366"/>
      <rgbColor rgb="FF333399"/>
      <rgbColor rgb="FF1C2B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7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6" customFormat="false" ht="30" hidden="false" customHeight="true" outlineLevel="0" collapsed="false">
      <c r="A6" s="6" t="s">
        <v>8</v>
      </c>
      <c r="B6" s="7" t="n">
        <f aca="false">'Единица экономики'!$B$10</f>
        <v>635.483333333334</v>
      </c>
      <c r="C6" s="7" t="n">
        <f aca="false">'Единица экономики'!$C$10</f>
        <v>816.015</v>
      </c>
      <c r="D6" s="7" t="n">
        <f aca="false">'Единица экономики'!$D$10</f>
        <v>1239.44333333333</v>
      </c>
      <c r="E6" s="8" t="s">
        <v>9</v>
      </c>
    </row>
    <row r="7" customFormat="false" ht="30" hidden="false" customHeight="true" outlineLevel="0" collapsed="false">
      <c r="A7" s="6" t="s">
        <v>10</v>
      </c>
      <c r="B7" s="7" t="n">
        <f aca="false">'Единица экономики'!$B$14</f>
        <v>5777.12121212121</v>
      </c>
      <c r="C7" s="7" t="n">
        <f aca="false">'Единица экономики'!$C$14</f>
        <v>8160.15</v>
      </c>
      <c r="D7" s="7" t="n">
        <f aca="false">'Единица экономики'!$D$14</f>
        <v>14581.6862745098</v>
      </c>
      <c r="E7" s="8" t="s">
        <v>11</v>
      </c>
    </row>
    <row r="8" customFormat="false" ht="30" hidden="false" customHeight="true" outlineLevel="0" collapsed="false">
      <c r="A8" s="6" t="s">
        <v>12</v>
      </c>
      <c r="B8" s="7" t="n">
        <f aca="false">'Единица экономики'!$B$15</f>
        <v>8888.88888888889</v>
      </c>
      <c r="C8" s="7" t="n">
        <f aca="false">'Единица экономики'!$C$15</f>
        <v>11428.5714285714</v>
      </c>
      <c r="D8" s="7" t="n">
        <f aca="false">'Единица экономики'!$D$15</f>
        <v>20000</v>
      </c>
      <c r="E8" s="8" t="s">
        <v>13</v>
      </c>
    </row>
    <row r="9" customFormat="false" ht="30" hidden="false" customHeight="true" outlineLevel="0" collapsed="false">
      <c r="A9" s="6" t="s">
        <v>14</v>
      </c>
      <c r="B9" s="9" t="n">
        <f aca="false">'Единица экономики'!$B$16</f>
        <v>0.649926136363637</v>
      </c>
      <c r="C9" s="9" t="n">
        <f aca="false">'Единица экономики'!$C$16</f>
        <v>0.714013125</v>
      </c>
      <c r="D9" s="9" t="n">
        <f aca="false">'Единица экономики'!$D$16</f>
        <v>0.72908431372549</v>
      </c>
      <c r="E9" s="8" t="s">
        <v>15</v>
      </c>
    </row>
    <row r="10" customFormat="false" ht="30" hidden="false" customHeight="true" outlineLevel="0" collapsed="false">
      <c r="A10" s="6" t="s">
        <v>16</v>
      </c>
      <c r="B10" s="10" t="n">
        <f aca="false">'Единица экономики'!$B$22</f>
        <v>183</v>
      </c>
      <c r="C10" s="10" t="n">
        <f aca="false">'Единица экономики'!$C$22</f>
        <v>142</v>
      </c>
      <c r="D10" s="10" t="n">
        <f aca="false">'Единица экономики'!$D$22</f>
        <v>94</v>
      </c>
      <c r="E10" s="8" t="s">
        <v>17</v>
      </c>
    </row>
    <row r="11" customFormat="false" ht="30" hidden="false" customHeight="true" outlineLevel="0" collapsed="false">
      <c r="A11" s="6" t="s">
        <v>18</v>
      </c>
      <c r="B11" s="11" t="n">
        <f aca="false">'Единица экономики'!$B$23</f>
        <v>261</v>
      </c>
      <c r="C11" s="11" t="n">
        <f aca="false">'Единица экономики'!$C$23</f>
        <v>204</v>
      </c>
      <c r="D11" s="11" t="n">
        <f aca="false">'Единица экономики'!$D$23</f>
        <v>134</v>
      </c>
      <c r="E11" s="8" t="s">
        <v>19</v>
      </c>
    </row>
    <row r="12" customFormat="false" ht="30" hidden="false" customHeight="true" outlineLevel="0" collapsed="false">
      <c r="A12" s="6" t="s">
        <v>20</v>
      </c>
      <c r="B12" s="12" t="n">
        <f aca="false">'Единица экономики'!$B$24</f>
        <v>340</v>
      </c>
      <c r="C12" s="12" t="n">
        <f aca="false">'Единица экономики'!$C$24</f>
        <v>265</v>
      </c>
      <c r="D12" s="12" t="n">
        <f aca="false">'Единица экономики'!$D$24</f>
        <v>175</v>
      </c>
      <c r="E12" s="8" t="s">
        <v>21</v>
      </c>
    </row>
    <row r="14" customFormat="false" ht="15" hidden="false" customHeight="false" outlineLevel="0" collapsed="false">
      <c r="A14" s="3" t="s">
        <v>22</v>
      </c>
      <c r="B14" s="4"/>
      <c r="C14" s="4"/>
      <c r="D14" s="4"/>
      <c r="E14" s="4"/>
    </row>
    <row r="15" customFormat="false" ht="15" hidden="false" customHeight="false" outlineLevel="0" collapsed="false">
      <c r="A15" s="5" t="s">
        <v>3</v>
      </c>
      <c r="B15" s="5" t="s">
        <v>4</v>
      </c>
      <c r="C15" s="5" t="s">
        <v>5</v>
      </c>
      <c r="D15" s="5" t="s">
        <v>6</v>
      </c>
      <c r="E15" s="5" t="s">
        <v>7</v>
      </c>
    </row>
    <row r="16" customFormat="false" ht="30" hidden="false" customHeight="true" outlineLevel="0" collapsed="false">
      <c r="A16" s="6" t="s">
        <v>23</v>
      </c>
      <c r="B16" s="13" t="n">
        <f aca="false">'Расчёт 790 ₽'!M10</f>
        <v>46.1309036081054</v>
      </c>
      <c r="C16" s="13" t="n">
        <f aca="false">'Расчёт 990 ₽'!M10</f>
        <v>37.7023908656443</v>
      </c>
      <c r="D16" s="13" t="n">
        <f aca="false">'Расчёт 1490 ₽'!M10</f>
        <v>21.0750453292387</v>
      </c>
      <c r="E16" s="8"/>
    </row>
    <row r="17" customFormat="false" ht="30" hidden="false" customHeight="true" outlineLevel="0" collapsed="false">
      <c r="A17" s="6" t="s">
        <v>24</v>
      </c>
      <c r="B17" s="13" t="n">
        <f aca="false">'Расчёт 790 ₽'!Y10</f>
        <v>117.915964062739</v>
      </c>
      <c r="C17" s="13" t="n">
        <f aca="false">'Расчёт 990 ₽'!Y10</f>
        <v>96.0198424695259</v>
      </c>
      <c r="D17" s="13" t="n">
        <f aca="false">'Расчёт 1490 ₽'!Y10</f>
        <v>55.8816059370177</v>
      </c>
      <c r="E17" s="8" t="s">
        <v>25</v>
      </c>
    </row>
    <row r="18" customFormat="false" ht="30" hidden="false" customHeight="true" outlineLevel="0" collapsed="false">
      <c r="A18" s="6" t="s">
        <v>26</v>
      </c>
      <c r="B18" s="11" t="n">
        <f aca="false">SUM('Расчёт 790 ₽'!B8:Y8)</f>
        <v>2933</v>
      </c>
      <c r="C18" s="11" t="n">
        <f aca="false">SUM('Расчёт 990 ₽'!B8:Y8)</f>
        <v>2933</v>
      </c>
      <c r="D18" s="11" t="n">
        <f aca="false">SUM('Расчёт 1490 ₽'!B8:Y8)</f>
        <v>2536</v>
      </c>
      <c r="E18" s="8" t="s">
        <v>27</v>
      </c>
    </row>
    <row r="19" customFormat="false" ht="30" hidden="false" customHeight="true" outlineLevel="0" collapsed="false">
      <c r="A19" s="6" t="s">
        <v>28</v>
      </c>
      <c r="B19" s="7" t="n">
        <f aca="false">SUM('Расчёт 790 ₽'!B12:M12)</f>
        <v>210426.287412036</v>
      </c>
      <c r="C19" s="7" t="n">
        <f aca="false">SUM('Расчёт 990 ₽'!B12:M12)</f>
        <v>209304.751139991</v>
      </c>
      <c r="D19" s="7" t="n">
        <f aca="false">SUM('Расчёт 1490 ₽'!B12:M12)</f>
        <v>163547.495203067</v>
      </c>
      <c r="E19" s="8"/>
    </row>
    <row r="20" customFormat="false" ht="30" hidden="false" customHeight="true" outlineLevel="0" collapsed="false">
      <c r="A20" s="6" t="s">
        <v>29</v>
      </c>
      <c r="B20" s="14" t="n">
        <f aca="false">SUM('Расчёт 790 ₽'!B12:Y12)</f>
        <v>953607.092378121</v>
      </c>
      <c r="C20" s="14" t="n">
        <f aca="false">SUM('Расчёт 990 ₽'!B12:Y12)</f>
        <v>967790.306675303</v>
      </c>
      <c r="D20" s="14" t="n">
        <f aca="false">SUM('Расчёт 1490 ₽'!B12:Y12)</f>
        <v>820681.37026095</v>
      </c>
      <c r="E20" s="8"/>
    </row>
    <row r="21" customFormat="false" ht="30" hidden="false" customHeight="true" outlineLevel="0" collapsed="false">
      <c r="A21" s="6" t="s">
        <v>30</v>
      </c>
      <c r="B21" s="7" t="n">
        <f aca="false">SUM('Расчёт 790 ₽'!B32:Y32)</f>
        <v>4594849.51825602</v>
      </c>
      <c r="C21" s="7" t="n">
        <f aca="false">SUM('Расчёт 990 ₽'!B32:Y32)</f>
        <v>4575009.6785174</v>
      </c>
      <c r="D21" s="7" t="n">
        <f aca="false">SUM('Расчёт 1490 ₽'!B32:Y32)</f>
        <v>4540114.10698685</v>
      </c>
      <c r="E21" s="8"/>
    </row>
    <row r="22" customFormat="false" ht="30" hidden="false" customHeight="true" outlineLevel="0" collapsed="false">
      <c r="A22" s="6" t="s">
        <v>31</v>
      </c>
      <c r="B22" s="7" t="n">
        <f aca="false">SUM('Расчёт 790 ₽'!B38:Y38)</f>
        <v>9536.07092378121</v>
      </c>
      <c r="C22" s="7" t="n">
        <f aca="false">SUM('Расчёт 990 ₽'!B38:Y38)</f>
        <v>9677.90306675303</v>
      </c>
      <c r="D22" s="7" t="n">
        <f aca="false">SUM('Расчёт 1490 ₽'!B38:Y38)</f>
        <v>8206.8137026095</v>
      </c>
      <c r="E22" s="8" t="s">
        <v>32</v>
      </c>
    </row>
    <row r="23" customFormat="false" ht="30" hidden="false" customHeight="true" outlineLevel="0" collapsed="false">
      <c r="A23" s="6" t="s">
        <v>33</v>
      </c>
      <c r="B23" s="7" t="n">
        <f aca="false">SUM('Расчёт 790 ₽'!B31:Y31)</f>
        <v>195069.6</v>
      </c>
      <c r="C23" s="7" t="n">
        <f aca="false">SUM('Расчёт 990 ₽'!B31:Y31)</f>
        <v>195069.6</v>
      </c>
      <c r="D23" s="7" t="n">
        <f aca="false">SUM('Расчёт 1490 ₽'!B31:Y31)</f>
        <v>195069.6</v>
      </c>
      <c r="E23" s="8" t="s">
        <v>34</v>
      </c>
    </row>
    <row r="24" customFormat="false" ht="30" hidden="false" customHeight="true" outlineLevel="0" collapsed="false">
      <c r="A24" s="6" t="s">
        <v>35</v>
      </c>
      <c r="B24" s="14" t="n">
        <f aca="false">SUM('Расчёт 790 ₽'!B41:Y41)</f>
        <v>-3650778.49680168</v>
      </c>
      <c r="C24" s="14" t="n">
        <f aca="false">SUM('Расчёт 990 ₽'!B41:Y41)</f>
        <v>-3616897.27490885</v>
      </c>
      <c r="D24" s="14" t="n">
        <f aca="false">SUM('Расчёт 1490 ₽'!B41:Y41)</f>
        <v>-3727639.55042851</v>
      </c>
      <c r="E24" s="8"/>
    </row>
    <row r="25" customFormat="false" ht="30" hidden="false" customHeight="true" outlineLevel="0" collapsed="false">
      <c r="A25" s="6" t="s">
        <v>36</v>
      </c>
      <c r="B25" s="14" t="n">
        <f aca="false">'Расчёт 790 ₽'!Y43</f>
        <v>-2951330.92735724</v>
      </c>
      <c r="C25" s="14" t="n">
        <f aca="false">'Расчёт 990 ₽'!Y43</f>
        <v>-2905185.08740885</v>
      </c>
      <c r="D25" s="14" t="n">
        <f aca="false">'Расчёт 1490 ₽'!Y43</f>
        <v>-3013158.1893174</v>
      </c>
      <c r="E25" s="8" t="s">
        <v>37</v>
      </c>
    </row>
    <row r="27" customFormat="false" ht="15" hidden="false" customHeight="false" outlineLevel="0" collapsed="false">
      <c r="A27" s="3" t="s">
        <v>38</v>
      </c>
      <c r="B27" s="4"/>
      <c r="C27" s="4"/>
      <c r="D27" s="4"/>
      <c r="E27" s="4"/>
    </row>
    <row r="28" customFormat="false" ht="15" hidden="false" customHeight="false" outlineLevel="0" collapsed="false">
      <c r="A28" s="5" t="s">
        <v>3</v>
      </c>
      <c r="B28" s="5" t="s">
        <v>4</v>
      </c>
      <c r="C28" s="5" t="s">
        <v>5</v>
      </c>
      <c r="D28" s="5" t="s">
        <v>6</v>
      </c>
      <c r="E28" s="5" t="s">
        <v>7</v>
      </c>
    </row>
    <row r="29" customFormat="false" ht="30" hidden="false" customHeight="true" outlineLevel="0" collapsed="false">
      <c r="A29" s="6" t="s">
        <v>39</v>
      </c>
      <c r="B29" s="13" t="str">
        <f aca="false">IFERROR(MATCH(TRUE(),INDEX('Расчёт 790 ₽'!B41:Y41&gt;0,0),0),"за 24 месяца не выходим")</f>
        <v>за 24 месяца не выходим</v>
      </c>
      <c r="C29" s="13" t="str">
        <f aca="false">IFERROR(MATCH(TRUE(),INDEX('Расчёт 990 ₽'!B41:Y41&gt;0,0),0),"за 24 месяца не выходим")</f>
        <v>за 24 месяца не выходим</v>
      </c>
      <c r="D29" s="13" t="str">
        <f aca="false">IFERROR(MATCH(TRUE(),INDEX('Расчёт 1490 ₽'!B41:Y41&gt;0,0),0),"за 24 месяца не выходим")</f>
        <v>за 24 месяца не выходим</v>
      </c>
      <c r="E29" s="8" t="s">
        <v>40</v>
      </c>
    </row>
    <row r="30" customFormat="false" ht="30" hidden="false" customHeight="true" outlineLevel="0" collapsed="false">
      <c r="A30" s="6" t="s">
        <v>41</v>
      </c>
      <c r="B30" s="12" t="n">
        <f aca="false">IFERROR(MATCH(TRUE(),INDEX('Расчёт 790 ₽'!B43:Y43&lt;0,0),0),"не уходят")</f>
        <v>4</v>
      </c>
      <c r="C30" s="12" t="n">
        <f aca="false">IFERROR(MATCH(TRUE(),INDEX('Расчёт 990 ₽'!B43:Y43&lt;0,0),0),"не уходят")</f>
        <v>4</v>
      </c>
      <c r="D30" s="12" t="n">
        <f aca="false">IFERROR(MATCH(TRUE(),INDEX('Расчёт 1490 ₽'!B43:Y43&lt;0,0),0),"не уходят")</f>
        <v>4</v>
      </c>
      <c r="E30" s="8" t="s">
        <v>42</v>
      </c>
    </row>
    <row r="31" customFormat="false" ht="30" hidden="false" customHeight="true" outlineLevel="0" collapsed="false">
      <c r="A31" s="6" t="s">
        <v>43</v>
      </c>
      <c r="B31" s="15" t="n">
        <f aca="false">MAX(0,-MIN('Расчёт 790 ₽'!B43:Y43))</f>
        <v>2951330.92735724</v>
      </c>
      <c r="C31" s="15" t="n">
        <f aca="false">MAX(0,-MIN('Расчёт 990 ₽'!B43:Y43))</f>
        <v>2905185.08740885</v>
      </c>
      <c r="D31" s="15" t="n">
        <f aca="false">MAX(0,-MIN('Расчёт 1490 ₽'!B43:Y43))</f>
        <v>3013158.1893174</v>
      </c>
      <c r="E31" s="8" t="s">
        <v>44</v>
      </c>
    </row>
    <row r="33" customFormat="false" ht="15" hidden="false" customHeight="false" outlineLevel="0" collapsed="false">
      <c r="A33" s="16" t="s">
        <v>45</v>
      </c>
    </row>
    <row r="34" customFormat="false" ht="43.5" hidden="false" customHeight="true" outlineLevel="0" collapsed="false">
      <c r="A34" s="17" t="s">
        <v>46</v>
      </c>
      <c r="B34" s="18" t="s">
        <v>47</v>
      </c>
      <c r="C34" s="18"/>
      <c r="D34" s="18"/>
      <c r="E34" s="18"/>
    </row>
    <row r="35" customFormat="false" ht="43.5" hidden="false" customHeight="true" outlineLevel="0" collapsed="false">
      <c r="A35" s="17" t="s">
        <v>46</v>
      </c>
      <c r="B35" s="18" t="s">
        <v>48</v>
      </c>
      <c r="C35" s="18"/>
      <c r="D35" s="18"/>
      <c r="E35" s="18"/>
    </row>
    <row r="36" customFormat="false" ht="43.5" hidden="false" customHeight="true" outlineLevel="0" collapsed="false">
      <c r="A36" s="17" t="s">
        <v>46</v>
      </c>
      <c r="B36" s="18" t="s">
        <v>49</v>
      </c>
      <c r="C36" s="18"/>
      <c r="D36" s="18"/>
      <c r="E36" s="18"/>
    </row>
    <row r="37" customFormat="false" ht="43.5" hidden="false" customHeight="true" outlineLevel="0" collapsed="false">
      <c r="A37" s="17" t="s">
        <v>46</v>
      </c>
      <c r="B37" s="18" t="s">
        <v>50</v>
      </c>
      <c r="C37" s="18"/>
      <c r="D37" s="18"/>
      <c r="E37" s="18"/>
    </row>
    <row r="38" customFormat="false" ht="43.5" hidden="false" customHeight="true" outlineLevel="0" collapsed="false">
      <c r="A38" s="17" t="s">
        <v>46</v>
      </c>
      <c r="B38" s="18" t="s">
        <v>51</v>
      </c>
      <c r="C38" s="18"/>
      <c r="D38" s="18"/>
      <c r="E38" s="18"/>
    </row>
  </sheetData>
  <mergeCells count="5">
    <mergeCell ref="B34:E34"/>
    <mergeCell ref="B35:E35"/>
    <mergeCell ref="B36:E36"/>
    <mergeCell ref="B37:E37"/>
    <mergeCell ref="B38:E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5"/>
    <col collapsed="false" customWidth="true" hidden="false" outlineLevel="0" max="5" min="5" style="0" width="76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19" t="s">
        <v>3</v>
      </c>
      <c r="B4" s="19" t="s">
        <v>4</v>
      </c>
      <c r="C4" s="19" t="s">
        <v>5</v>
      </c>
      <c r="D4" s="19" t="s">
        <v>6</v>
      </c>
      <c r="E4" s="19" t="s">
        <v>54</v>
      </c>
    </row>
    <row r="5" customFormat="false" ht="15" hidden="false" customHeight="false" outlineLevel="0" collapsed="false">
      <c r="A5" s="3" t="s">
        <v>55</v>
      </c>
      <c r="B5" s="4"/>
      <c r="C5" s="4"/>
      <c r="D5" s="4"/>
      <c r="E5" s="4"/>
    </row>
    <row r="6" customFormat="false" ht="30" hidden="false" customHeight="true" outlineLevel="0" collapsed="false">
      <c r="A6" s="6" t="s">
        <v>56</v>
      </c>
      <c r="B6" s="7" t="n">
        <f aca="false">Допущения!$B$8*(1-Допущения!$B$10)+Допущения!$B$9/12*Допущения!$B$10</f>
        <v>763.666666666667</v>
      </c>
      <c r="C6" s="7" t="n">
        <f aca="false">Допущения!$C$8*(1-Допущения!$C$10)+Допущения!$C$9/12*Допущения!$C$10</f>
        <v>953.7</v>
      </c>
      <c r="D6" s="7" t="n">
        <f aca="false">Допущения!$D$8*(1-Допущения!$D$10)+Допущения!$D$9/12*Допущения!$D$10</f>
        <v>1420.46666666667</v>
      </c>
      <c r="E6" s="8" t="s">
        <v>57</v>
      </c>
    </row>
    <row r="7" customFormat="false" ht="30" hidden="false" customHeight="true" outlineLevel="0" collapsed="false">
      <c r="A7" s="6" t="s">
        <v>58</v>
      </c>
      <c r="B7" s="7" t="n">
        <f aca="false">-$B$6*Допущения!$B$50</f>
        <v>-22.91</v>
      </c>
      <c r="C7" s="7" t="n">
        <f aca="false">-$C$6*Допущения!$C$50</f>
        <v>-28.611</v>
      </c>
      <c r="D7" s="7" t="n">
        <f aca="false">-$D$6*Допущения!$D$50</f>
        <v>-42.614</v>
      </c>
      <c r="E7" s="8" t="s">
        <v>59</v>
      </c>
    </row>
    <row r="8" customFormat="false" ht="30" hidden="false" customHeight="true" outlineLevel="0" collapsed="false">
      <c r="A8" s="6" t="s">
        <v>60</v>
      </c>
      <c r="B8" s="7" t="n">
        <f aca="false">-$B$6*Допущения!$B$13</f>
        <v>-15.2733333333333</v>
      </c>
      <c r="C8" s="7" t="n">
        <f aca="false">-$C$6*Допущения!$C$13</f>
        <v>-19.074</v>
      </c>
      <c r="D8" s="7" t="n">
        <f aca="false">-$D$6*Допущения!$D$13</f>
        <v>-28.4093333333333</v>
      </c>
      <c r="E8" s="8" t="s">
        <v>61</v>
      </c>
    </row>
    <row r="9" customFormat="false" ht="30" hidden="false" customHeight="true" outlineLevel="0" collapsed="false">
      <c r="A9" s="6" t="s">
        <v>62</v>
      </c>
      <c r="B9" s="7" t="n">
        <f aca="false">-Допущения!$B$28</f>
        <v>-90</v>
      </c>
      <c r="C9" s="7" t="n">
        <f aca="false">-Допущения!$C$28</f>
        <v>-90</v>
      </c>
      <c r="D9" s="7" t="n">
        <f aca="false">-Допущения!$D$28</f>
        <v>-110</v>
      </c>
      <c r="E9" s="8" t="s">
        <v>63</v>
      </c>
    </row>
    <row r="10" customFormat="false" ht="30" hidden="false" customHeight="true" outlineLevel="0" collapsed="false">
      <c r="A10" s="20" t="s">
        <v>64</v>
      </c>
      <c r="B10" s="14" t="n">
        <f aca="false">$B$6+$B$7+$B$8+$B$9</f>
        <v>635.483333333334</v>
      </c>
      <c r="C10" s="14" t="n">
        <f aca="false">$C$6+$C$7+$C$8+$C$9</f>
        <v>816.015</v>
      </c>
      <c r="D10" s="14" t="n">
        <f aca="false">$D$6+$D$7+$D$8+$D$9</f>
        <v>1239.44333333333</v>
      </c>
      <c r="E10" s="8" t="s">
        <v>65</v>
      </c>
    </row>
    <row r="12" customFormat="false" ht="15" hidden="false" customHeight="false" outlineLevel="0" collapsed="false">
      <c r="A12" s="3" t="s">
        <v>66</v>
      </c>
      <c r="B12" s="4"/>
      <c r="C12" s="4"/>
      <c r="D12" s="4"/>
      <c r="E12" s="4"/>
    </row>
    <row r="13" customFormat="false" ht="30" hidden="false" customHeight="true" outlineLevel="0" collapsed="false">
      <c r="A13" s="6" t="s">
        <v>67</v>
      </c>
      <c r="B13" s="21" t="n">
        <f aca="false">1/Допущения!$B$12</f>
        <v>9.09090909090909</v>
      </c>
      <c r="C13" s="21" t="n">
        <f aca="false">1/Допущения!$C$12</f>
        <v>10</v>
      </c>
      <c r="D13" s="21" t="n">
        <f aca="false">1/Допущения!$D$12</f>
        <v>11.7647058823529</v>
      </c>
      <c r="E13" s="8" t="s">
        <v>68</v>
      </c>
    </row>
    <row r="14" customFormat="false" ht="30" hidden="false" customHeight="true" outlineLevel="0" collapsed="false">
      <c r="A14" s="6" t="s">
        <v>10</v>
      </c>
      <c r="B14" s="7" t="n">
        <f aca="false">$B$10/Допущения!$B$12</f>
        <v>5777.12121212121</v>
      </c>
      <c r="C14" s="7" t="n">
        <f aca="false">$C$10/Допущения!$C$12</f>
        <v>8160.15</v>
      </c>
      <c r="D14" s="7" t="n">
        <f aca="false">$D$10/Допущения!$D$12</f>
        <v>14581.6862745098</v>
      </c>
      <c r="E14" s="8" t="s">
        <v>69</v>
      </c>
    </row>
    <row r="15" customFormat="false" ht="30" hidden="false" customHeight="true" outlineLevel="0" collapsed="false">
      <c r="A15" s="6" t="s">
        <v>70</v>
      </c>
      <c r="B15" s="7" t="n">
        <f aca="false">Допущения!$B$19/Допущения!$B$20</f>
        <v>8888.88888888889</v>
      </c>
      <c r="C15" s="7" t="n">
        <f aca="false">Допущения!$C$19/Допущения!$C$20</f>
        <v>11428.5714285714</v>
      </c>
      <c r="D15" s="7" t="n">
        <f aca="false">Допущения!$D$19/Допущения!$D$20</f>
        <v>20000</v>
      </c>
      <c r="E15" s="8" t="s">
        <v>71</v>
      </c>
    </row>
    <row r="16" customFormat="false" ht="30" hidden="false" customHeight="true" outlineLevel="0" collapsed="false">
      <c r="A16" s="20" t="s">
        <v>14</v>
      </c>
      <c r="B16" s="22" t="n">
        <f aca="false">$B$14/$B$15</f>
        <v>0.649926136363637</v>
      </c>
      <c r="C16" s="22" t="n">
        <f aca="false">$C$14/$C$15</f>
        <v>0.714013125</v>
      </c>
      <c r="D16" s="22" t="n">
        <f aca="false">$D$14/$D$15</f>
        <v>0.72908431372549</v>
      </c>
      <c r="E16" s="8" t="s">
        <v>72</v>
      </c>
    </row>
    <row r="17" customFormat="false" ht="30" hidden="false" customHeight="true" outlineLevel="0" collapsed="false">
      <c r="A17" s="6" t="s">
        <v>73</v>
      </c>
      <c r="B17" s="21" t="n">
        <f aca="false">IF($B$10&gt;0,$B$15/$B$10,"—")</f>
        <v>13.9876034864102</v>
      </c>
      <c r="C17" s="21" t="n">
        <f aca="false">IF($C$10&gt;0,$C$15/$C$10,"—")</f>
        <v>14.0053447897054</v>
      </c>
      <c r="D17" s="21" t="n">
        <f aca="false">IF($D$10&gt;0,$D$15/$D$10,"—")</f>
        <v>16.136276231534</v>
      </c>
      <c r="E17" s="8" t="s">
        <v>74</v>
      </c>
    </row>
    <row r="18" customFormat="false" ht="30" hidden="false" customHeight="true" outlineLevel="0" collapsed="false">
      <c r="A18" s="23" t="s">
        <v>75</v>
      </c>
      <c r="B18" s="15" t="n">
        <f aca="false">$B$14*Допущения!$B$20/3</f>
        <v>173.313636363636</v>
      </c>
      <c r="C18" s="15" t="n">
        <f aca="false">$C$14*Допущения!$C$20/3</f>
        <v>190.4035</v>
      </c>
      <c r="D18" s="15" t="n">
        <f aca="false">$D$14*Допущения!$D$20/3</f>
        <v>218.725294117647</v>
      </c>
      <c r="E18" s="8" t="s">
        <v>76</v>
      </c>
    </row>
    <row r="20" customFormat="false" ht="15" hidden="false" customHeight="false" outlineLevel="0" collapsed="false">
      <c r="A20" s="3" t="s">
        <v>77</v>
      </c>
      <c r="B20" s="4"/>
      <c r="C20" s="4"/>
      <c r="D20" s="4"/>
      <c r="E20" s="4"/>
    </row>
    <row r="21" customFormat="false" ht="30" hidden="false" customHeight="true" outlineLevel="0" collapsed="false">
      <c r="A21" s="6" t="s">
        <v>78</v>
      </c>
      <c r="B21" s="7" t="n">
        <f aca="false">Допущения!$B$23+Допущения!$B$24+Допущения!$B$25+Допущения!$B$26+Допущения!$B$27+Допущения!$B$30+Допущения!$B$31+Допущения!$B$32+Допущения!$B$33+Допущения!$B$35+Допущения!$B$34+Допущения!$B$37+Допущения!$B$38+MAX(Допущения!$B$37,Допущения!$B$48)*Допущения!$B$49</f>
        <v>115835.9</v>
      </c>
      <c r="C21" s="7" t="n">
        <f aca="false">Допущения!$C$23+Допущения!$C$24+Допущения!$C$25+Допущения!$C$26+Допущения!$C$27+Допущения!$C$30+Допущения!$C$31+Допущения!$C$32+Допущения!$C$33+Допущения!$C$35+Допущения!$C$34+Допущения!$C$37+Допущения!$C$38+MAX(Допущения!$C$37,Допущения!$C$48)*Допущения!$C$49</f>
        <v>115835.9</v>
      </c>
      <c r="D21" s="7" t="n">
        <f aca="false">Допущения!$D$23+Допущения!$D$24+Допущения!$D$25+Допущения!$D$26+Допущения!$D$27+Допущения!$D$30+Допущения!$D$31+Допущения!$D$32+Допущения!$D$33+Допущения!$D$35+Допущения!$D$34+Допущения!$D$37+Допущения!$D$38+MAX(Допущения!$D$37,Допущения!$D$48)*Допущения!$D$49</f>
        <v>115835.9</v>
      </c>
      <c r="E21" s="8" t="s">
        <v>79</v>
      </c>
    </row>
    <row r="22" customFormat="false" ht="30" hidden="false" customHeight="true" outlineLevel="0" collapsed="false">
      <c r="A22" s="24" t="s">
        <v>80</v>
      </c>
      <c r="B22" s="10" t="n">
        <f aca="false">ROUNDUP($B$21/$B$10,0)</f>
        <v>183</v>
      </c>
      <c r="C22" s="10" t="n">
        <f aca="false">ROUNDUP($C$21/$C$10,0)</f>
        <v>142</v>
      </c>
      <c r="D22" s="10" t="n">
        <f aca="false">ROUNDUP($D$21/$D$10,0)</f>
        <v>94</v>
      </c>
      <c r="E22" s="8" t="s">
        <v>81</v>
      </c>
    </row>
    <row r="23" customFormat="false" ht="30" hidden="false" customHeight="true" outlineLevel="0" collapsed="false">
      <c r="A23" s="6" t="s">
        <v>82</v>
      </c>
      <c r="B23" s="11" t="n">
        <f aca="false">ROUNDUP(($B$21+Допущения!$B$40)/$B$10,0)</f>
        <v>261</v>
      </c>
      <c r="C23" s="11" t="n">
        <f aca="false">ROUNDUP(($C$21+Допущения!$C$40)/$C$10,0)</f>
        <v>204</v>
      </c>
      <c r="D23" s="11" t="n">
        <f aca="false">ROUNDUP(($D$21+Допущения!$D$40)/$D$10,0)</f>
        <v>134</v>
      </c>
      <c r="E23" s="8" t="s">
        <v>83</v>
      </c>
    </row>
    <row r="24" customFormat="false" ht="30" hidden="false" customHeight="true" outlineLevel="0" collapsed="false">
      <c r="A24" s="23" t="s">
        <v>84</v>
      </c>
      <c r="B24" s="12" t="n">
        <f aca="false">ROUNDUP(($B$21+Допущения!$B$42)/$B$10,0)</f>
        <v>340</v>
      </c>
      <c r="C24" s="12" t="n">
        <f aca="false">ROUNDUP(($C$21+Допущения!$C$42)/$C$10,0)</f>
        <v>265</v>
      </c>
      <c r="D24" s="12" t="n">
        <f aca="false">ROUNDUP(($D$21+Допущения!$D$42)/$D$10,0)</f>
        <v>175</v>
      </c>
      <c r="E24" s="8" t="s">
        <v>85</v>
      </c>
    </row>
    <row r="25" customFormat="false" ht="30" hidden="false" customHeight="true" outlineLevel="0" collapsed="false">
      <c r="A25" s="6" t="s">
        <v>86</v>
      </c>
      <c r="B25" s="7" t="n">
        <f aca="false">$B$22*$B$6</f>
        <v>139751</v>
      </c>
      <c r="C25" s="7" t="n">
        <f aca="false">$C$22*$C$6</f>
        <v>135425.4</v>
      </c>
      <c r="D25" s="7" t="n">
        <f aca="false">$D$22*$D$6</f>
        <v>133523.866666667</v>
      </c>
      <c r="E25" s="8"/>
    </row>
    <row r="26" customFormat="false" ht="30" hidden="false" customHeight="true" outlineLevel="0" collapsed="false">
      <c r="A26" s="20" t="s">
        <v>87</v>
      </c>
      <c r="B26" s="13" t="str">
        <f aca="false">IFERROR(MATCH(TRUE(),INDEX('Расчёт 790 ₽'!$B$10:$Y$10&gt;=$B$22,0),0),"за 24 месяца не успеваем")</f>
        <v>за 24 месяца не успеваем</v>
      </c>
      <c r="C26" s="13" t="str">
        <f aca="false">IFERROR(MATCH(TRUE(),INDEX('Расчёт 990 ₽'!$B$10:$Y$10&gt;=$C$22,0),0),"за 24 месяца не успеваем")</f>
        <v>за 24 месяца не успеваем</v>
      </c>
      <c r="D26" s="13" t="str">
        <f aca="false">IFERROR(MATCH(TRUE(),INDEX('Расчёт 1490 ₽'!$B$10:$Y$10&gt;=$D$22,0),0),"за 24 месяца не успеваем")</f>
        <v>за 24 месяца не успеваем</v>
      </c>
      <c r="E26" s="8" t="s">
        <v>88</v>
      </c>
    </row>
    <row r="27" customFormat="false" ht="30" hidden="false" customHeight="true" outlineLevel="0" collapsed="false">
      <c r="A27" s="6" t="s">
        <v>89</v>
      </c>
      <c r="B27" s="11" t="n">
        <f aca="false">ROUNDUP(Допущения!$B$46/12/$B$6,0)</f>
        <v>2183</v>
      </c>
      <c r="C27" s="11" t="n">
        <f aca="false">ROUNDUP(Допущения!$C$46/12/$C$6,0)</f>
        <v>1748</v>
      </c>
      <c r="D27" s="11" t="n">
        <f aca="false">ROUNDUP(Допущения!$D$46/12/$D$6,0)</f>
        <v>1174</v>
      </c>
      <c r="E27" s="8" t="s">
        <v>90</v>
      </c>
    </row>
    <row r="29" customFormat="false" ht="15" hidden="false" customHeight="false" outlineLevel="0" collapsed="false">
      <c r="A29" s="16" t="s">
        <v>91</v>
      </c>
    </row>
    <row r="30" customFormat="false" ht="57.75" hidden="false" customHeight="true" outlineLevel="0" collapsed="false">
      <c r="A30" s="17" t="s">
        <v>46</v>
      </c>
      <c r="B30" s="18" t="s">
        <v>92</v>
      </c>
      <c r="C30" s="18"/>
      <c r="D30" s="18"/>
      <c r="E30" s="18"/>
    </row>
    <row r="31" customFormat="false" ht="57.75" hidden="false" customHeight="true" outlineLevel="0" collapsed="false">
      <c r="A31" s="17" t="s">
        <v>46</v>
      </c>
      <c r="B31" s="18" t="s">
        <v>93</v>
      </c>
      <c r="C31" s="18"/>
      <c r="D31" s="18"/>
      <c r="E31" s="18"/>
    </row>
    <row r="32" customFormat="false" ht="57.75" hidden="false" customHeight="true" outlineLevel="0" collapsed="false">
      <c r="A32" s="17" t="s">
        <v>46</v>
      </c>
      <c r="B32" s="18" t="s">
        <v>94</v>
      </c>
      <c r="C32" s="18"/>
      <c r="D32" s="18"/>
      <c r="E32" s="18"/>
    </row>
    <row r="33" customFormat="false" ht="57.75" hidden="false" customHeight="true" outlineLevel="0" collapsed="false">
      <c r="A33" s="17" t="s">
        <v>46</v>
      </c>
      <c r="B33" s="18" t="s">
        <v>95</v>
      </c>
      <c r="C33" s="18"/>
      <c r="D33" s="18"/>
      <c r="E33" s="18"/>
    </row>
  </sheetData>
  <mergeCells count="4">
    <mergeCell ref="B30:E30"/>
    <mergeCell ref="B31:E31"/>
    <mergeCell ref="B32:E32"/>
    <mergeCell ref="B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78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3" customFormat="false" ht="15" hidden="false" customHeight="false" outlineLevel="0" collapsed="false">
      <c r="A3" s="2" t="s">
        <v>98</v>
      </c>
    </row>
    <row r="4" customFormat="false" ht="15" hidden="false" customHeight="false" outlineLevel="0" collapsed="false">
      <c r="A4" s="2" t="s">
        <v>99</v>
      </c>
    </row>
    <row r="6" customFormat="false" ht="15" hidden="false" customHeight="fals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100</v>
      </c>
    </row>
    <row r="7" customFormat="false" ht="15" hidden="false" customHeight="false" outlineLevel="0" collapsed="false">
      <c r="A7" s="3" t="s">
        <v>101</v>
      </c>
      <c r="B7" s="4"/>
      <c r="C7" s="4"/>
      <c r="D7" s="4"/>
      <c r="E7" s="4"/>
    </row>
    <row r="8" customFormat="false" ht="30" hidden="false" customHeight="true" outlineLevel="0" collapsed="false">
      <c r="A8" s="6" t="s">
        <v>102</v>
      </c>
      <c r="B8" s="25" t="n">
        <v>790</v>
      </c>
      <c r="C8" s="25" t="n">
        <v>990</v>
      </c>
      <c r="D8" s="25" t="n">
        <v>1490</v>
      </c>
      <c r="E8" s="8" t="s">
        <v>103</v>
      </c>
    </row>
    <row r="9" customFormat="false" ht="30" hidden="false" customHeight="true" outlineLevel="0" collapsed="false">
      <c r="A9" s="6" t="s">
        <v>104</v>
      </c>
      <c r="B9" s="25" t="n">
        <v>7900</v>
      </c>
      <c r="C9" s="25" t="n">
        <v>9900</v>
      </c>
      <c r="D9" s="25" t="n">
        <v>14900</v>
      </c>
      <c r="E9" s="8" t="s">
        <v>105</v>
      </c>
    </row>
    <row r="10" customFormat="false" ht="30" hidden="false" customHeight="true" outlineLevel="0" collapsed="false">
      <c r="A10" s="6" t="s">
        <v>106</v>
      </c>
      <c r="B10" s="26" t="n">
        <v>0.2</v>
      </c>
      <c r="C10" s="26" t="n">
        <v>0.22</v>
      </c>
      <c r="D10" s="26" t="n">
        <v>0.28</v>
      </c>
      <c r="E10" s="8" t="s">
        <v>107</v>
      </c>
    </row>
    <row r="11" customFormat="false" ht="15" hidden="false" customHeight="false" outlineLevel="0" collapsed="false">
      <c r="A11" s="3" t="s">
        <v>108</v>
      </c>
      <c r="B11" s="4"/>
      <c r="C11" s="4"/>
      <c r="D11" s="4"/>
      <c r="E11" s="4"/>
    </row>
    <row r="12" customFormat="false" ht="30" hidden="false" customHeight="true" outlineLevel="0" collapsed="false">
      <c r="A12" s="6" t="s">
        <v>109</v>
      </c>
      <c r="B12" s="26" t="n">
        <v>0.11</v>
      </c>
      <c r="C12" s="26" t="n">
        <v>0.1</v>
      </c>
      <c r="D12" s="26" t="n">
        <v>0.085</v>
      </c>
      <c r="E12" s="8" t="s">
        <v>110</v>
      </c>
    </row>
    <row r="13" customFormat="false" ht="30" hidden="false" customHeight="true" outlineLevel="0" collapsed="false">
      <c r="A13" s="6" t="s">
        <v>111</v>
      </c>
      <c r="B13" s="26" t="n">
        <v>0.02</v>
      </c>
      <c r="C13" s="26" t="n">
        <v>0.02</v>
      </c>
      <c r="D13" s="26" t="n">
        <v>0.02</v>
      </c>
      <c r="E13" s="8" t="s">
        <v>112</v>
      </c>
    </row>
    <row r="14" customFormat="false" ht="15" hidden="false" customHeight="false" outlineLevel="0" collapsed="false">
      <c r="A14" s="3" t="s">
        <v>113</v>
      </c>
      <c r="B14" s="4"/>
      <c r="C14" s="4"/>
      <c r="D14" s="4"/>
      <c r="E14" s="4"/>
    </row>
    <row r="15" customFormat="false" ht="30" hidden="false" customHeight="true" outlineLevel="0" collapsed="false">
      <c r="A15" s="6" t="s">
        <v>114</v>
      </c>
      <c r="B15" s="27" t="n">
        <v>25000</v>
      </c>
      <c r="C15" s="27" t="n">
        <v>25000</v>
      </c>
      <c r="D15" s="27" t="n">
        <v>18000</v>
      </c>
      <c r="E15" s="8" t="s">
        <v>115</v>
      </c>
    </row>
    <row r="16" customFormat="false" ht="30" hidden="false" customHeight="true" outlineLevel="0" collapsed="false">
      <c r="A16" s="6" t="s">
        <v>116</v>
      </c>
      <c r="B16" s="26" t="n">
        <v>0.045</v>
      </c>
      <c r="C16" s="26" t="n">
        <v>0.035</v>
      </c>
      <c r="D16" s="26" t="n">
        <v>0.025</v>
      </c>
      <c r="E16" s="8" t="s">
        <v>117</v>
      </c>
    </row>
    <row r="17" customFormat="false" ht="30" hidden="false" customHeight="true" outlineLevel="0" collapsed="false">
      <c r="A17" s="6" t="s">
        <v>118</v>
      </c>
      <c r="B17" s="27" t="n">
        <v>25</v>
      </c>
      <c r="C17" s="27" t="n">
        <v>25</v>
      </c>
      <c r="D17" s="27" t="n">
        <v>25</v>
      </c>
      <c r="E17" s="8" t="s">
        <v>119</v>
      </c>
    </row>
    <row r="18" customFormat="false" ht="30" hidden="false" customHeight="true" outlineLevel="0" collapsed="false">
      <c r="A18" s="6" t="s">
        <v>120</v>
      </c>
      <c r="B18" s="26" t="n">
        <v>0.1</v>
      </c>
      <c r="C18" s="26" t="n">
        <v>0.1</v>
      </c>
      <c r="D18" s="26" t="n">
        <v>0.09</v>
      </c>
      <c r="E18" s="8" t="s">
        <v>121</v>
      </c>
    </row>
    <row r="19" customFormat="false" ht="30" hidden="false" customHeight="true" outlineLevel="0" collapsed="false">
      <c r="A19" s="6" t="s">
        <v>122</v>
      </c>
      <c r="B19" s="25" t="n">
        <v>800</v>
      </c>
      <c r="C19" s="25" t="n">
        <v>800</v>
      </c>
      <c r="D19" s="25" t="n">
        <v>900</v>
      </c>
      <c r="E19" s="8" t="s">
        <v>123</v>
      </c>
    </row>
    <row r="20" customFormat="false" ht="30" hidden="false" customHeight="true" outlineLevel="0" collapsed="false">
      <c r="A20" s="6" t="s">
        <v>124</v>
      </c>
      <c r="B20" s="26" t="n">
        <v>0.09</v>
      </c>
      <c r="C20" s="26" t="n">
        <v>0.07</v>
      </c>
      <c r="D20" s="26" t="n">
        <v>0.045</v>
      </c>
      <c r="E20" s="8" t="s">
        <v>125</v>
      </c>
    </row>
    <row r="21" customFormat="false" ht="30" hidden="false" customHeight="true" outlineLevel="0" collapsed="false">
      <c r="A21" s="6" t="s">
        <v>126</v>
      </c>
      <c r="B21" s="27" t="n">
        <v>2</v>
      </c>
      <c r="C21" s="27" t="n">
        <v>2</v>
      </c>
      <c r="D21" s="27" t="n">
        <v>3</v>
      </c>
      <c r="E21" s="8" t="s">
        <v>127</v>
      </c>
    </row>
    <row r="22" customFormat="false" ht="15" hidden="false" customHeight="false" outlineLevel="0" collapsed="false">
      <c r="A22" s="3" t="s">
        <v>128</v>
      </c>
      <c r="B22" s="4"/>
      <c r="C22" s="4"/>
      <c r="D22" s="4"/>
      <c r="E22" s="4"/>
    </row>
    <row r="23" customFormat="false" ht="30" hidden="false" customHeight="true" outlineLevel="0" collapsed="false">
      <c r="A23" s="6" t="s">
        <v>129</v>
      </c>
      <c r="B23" s="25" t="n">
        <v>5300</v>
      </c>
      <c r="C23" s="25" t="n">
        <v>5300</v>
      </c>
      <c r="D23" s="25" t="n">
        <v>5300</v>
      </c>
      <c r="E23" s="8" t="s">
        <v>130</v>
      </c>
    </row>
    <row r="24" customFormat="false" ht="30" hidden="false" customHeight="true" outlineLevel="0" collapsed="false">
      <c r="A24" s="6" t="s">
        <v>131</v>
      </c>
      <c r="B24" s="25" t="n">
        <v>7000</v>
      </c>
      <c r="C24" s="25" t="n">
        <v>7000</v>
      </c>
      <c r="D24" s="25" t="n">
        <v>7000</v>
      </c>
      <c r="E24" s="8" t="s">
        <v>132</v>
      </c>
    </row>
    <row r="25" customFormat="false" ht="30" hidden="false" customHeight="true" outlineLevel="0" collapsed="false">
      <c r="A25" s="6" t="s">
        <v>133</v>
      </c>
      <c r="B25" s="25" t="n">
        <v>20000</v>
      </c>
      <c r="C25" s="25" t="n">
        <v>20000</v>
      </c>
      <c r="D25" s="25" t="n">
        <v>20000</v>
      </c>
      <c r="E25" s="8" t="s">
        <v>134</v>
      </c>
    </row>
    <row r="26" customFormat="false" ht="30" hidden="false" customHeight="true" outlineLevel="0" collapsed="false">
      <c r="A26" s="6" t="s">
        <v>135</v>
      </c>
      <c r="B26" s="25" t="n">
        <v>3000</v>
      </c>
      <c r="C26" s="25" t="n">
        <v>3000</v>
      </c>
      <c r="D26" s="25" t="n">
        <v>3000</v>
      </c>
      <c r="E26" s="8" t="s">
        <v>136</v>
      </c>
    </row>
    <row r="27" customFormat="false" ht="30" hidden="false" customHeight="true" outlineLevel="0" collapsed="false">
      <c r="A27" s="6" t="s">
        <v>137</v>
      </c>
      <c r="B27" s="25" t="n">
        <v>1908</v>
      </c>
      <c r="C27" s="25" t="n">
        <v>1908</v>
      </c>
      <c r="D27" s="25" t="n">
        <v>1908</v>
      </c>
      <c r="E27" s="8" t="s">
        <v>138</v>
      </c>
    </row>
    <row r="28" customFormat="false" ht="30" hidden="false" customHeight="true" outlineLevel="0" collapsed="false">
      <c r="A28" s="6" t="s">
        <v>139</v>
      </c>
      <c r="B28" s="25" t="n">
        <v>90</v>
      </c>
      <c r="C28" s="25" t="n">
        <v>90</v>
      </c>
      <c r="D28" s="25" t="n">
        <v>110</v>
      </c>
      <c r="E28" s="8" t="s">
        <v>140</v>
      </c>
    </row>
    <row r="29" customFormat="false" ht="15" hidden="false" customHeight="false" outlineLevel="0" collapsed="false">
      <c r="A29" s="3" t="s">
        <v>141</v>
      </c>
      <c r="B29" s="4"/>
      <c r="C29" s="4"/>
      <c r="D29" s="4"/>
      <c r="E29" s="4"/>
    </row>
    <row r="30" customFormat="false" ht="30" hidden="false" customHeight="true" outlineLevel="0" collapsed="false">
      <c r="A30" s="6" t="s">
        <v>142</v>
      </c>
      <c r="B30" s="25" t="n">
        <v>8000</v>
      </c>
      <c r="C30" s="25" t="n">
        <v>8000</v>
      </c>
      <c r="D30" s="25" t="n">
        <v>8000</v>
      </c>
      <c r="E30" s="8" t="s">
        <v>143</v>
      </c>
    </row>
    <row r="31" customFormat="false" ht="30" hidden="false" customHeight="true" outlineLevel="0" collapsed="false">
      <c r="A31" s="6" t="s">
        <v>144</v>
      </c>
      <c r="B31" s="25" t="n">
        <v>2500</v>
      </c>
      <c r="C31" s="25" t="n">
        <v>2500</v>
      </c>
      <c r="D31" s="25" t="n">
        <v>2500</v>
      </c>
      <c r="E31" s="8" t="s">
        <v>145</v>
      </c>
    </row>
    <row r="32" customFormat="false" ht="30" hidden="false" customHeight="true" outlineLevel="0" collapsed="false">
      <c r="A32" s="6" t="s">
        <v>146</v>
      </c>
      <c r="B32" s="25" t="n">
        <v>12000</v>
      </c>
      <c r="C32" s="25" t="n">
        <v>12000</v>
      </c>
      <c r="D32" s="25" t="n">
        <v>12000</v>
      </c>
      <c r="E32" s="8" t="s">
        <v>147</v>
      </c>
    </row>
    <row r="33" customFormat="false" ht="30" hidden="false" customHeight="true" outlineLevel="0" collapsed="false">
      <c r="A33" s="6" t="s">
        <v>148</v>
      </c>
      <c r="B33" s="25" t="n">
        <v>10000</v>
      </c>
      <c r="C33" s="25" t="n">
        <v>10000</v>
      </c>
      <c r="D33" s="25" t="n">
        <v>10000</v>
      </c>
      <c r="E33" s="8" t="s">
        <v>149</v>
      </c>
    </row>
    <row r="34" customFormat="false" ht="30" hidden="false" customHeight="true" outlineLevel="0" collapsed="false">
      <c r="A34" s="6" t="s">
        <v>150</v>
      </c>
      <c r="B34" s="25" t="n">
        <v>30000</v>
      </c>
      <c r="C34" s="25" t="n">
        <v>30000</v>
      </c>
      <c r="D34" s="25" t="n">
        <v>30000</v>
      </c>
      <c r="E34" s="8" t="s">
        <v>151</v>
      </c>
    </row>
    <row r="35" customFormat="false" ht="30" hidden="false" customHeight="true" outlineLevel="0" collapsed="false">
      <c r="A35" s="6" t="s">
        <v>152</v>
      </c>
      <c r="B35" s="25" t="n">
        <v>8000</v>
      </c>
      <c r="C35" s="25" t="n">
        <v>8000</v>
      </c>
      <c r="D35" s="25" t="n">
        <v>8000</v>
      </c>
      <c r="E35" s="8" t="s">
        <v>153</v>
      </c>
    </row>
    <row r="36" customFormat="false" ht="15" hidden="false" customHeight="false" outlineLevel="0" collapsed="false">
      <c r="A36" s="3" t="s">
        <v>154</v>
      </c>
      <c r="B36" s="4"/>
      <c r="C36" s="4"/>
      <c r="D36" s="4"/>
      <c r="E36" s="4"/>
    </row>
    <row r="37" customFormat="false" ht="30" hidden="false" customHeight="true" outlineLevel="0" collapsed="false">
      <c r="A37" s="6" t="s">
        <v>155</v>
      </c>
      <c r="B37" s="25" t="n">
        <v>0</v>
      </c>
      <c r="C37" s="25" t="n">
        <v>0</v>
      </c>
      <c r="D37" s="25" t="n">
        <v>0</v>
      </c>
      <c r="E37" s="8" t="s">
        <v>156</v>
      </c>
    </row>
    <row r="38" customFormat="false" ht="30" hidden="false" customHeight="true" outlineLevel="0" collapsed="false">
      <c r="A38" s="6" t="s">
        <v>157</v>
      </c>
      <c r="B38" s="25" t="n">
        <v>0</v>
      </c>
      <c r="C38" s="25" t="n">
        <v>0</v>
      </c>
      <c r="D38" s="25" t="n">
        <v>0</v>
      </c>
      <c r="E38" s="8" t="s">
        <v>158</v>
      </c>
    </row>
    <row r="39" customFormat="false" ht="30" hidden="false" customHeight="true" outlineLevel="0" collapsed="false">
      <c r="A39" s="6" t="s">
        <v>159</v>
      </c>
      <c r="B39" s="27" t="n">
        <v>3</v>
      </c>
      <c r="C39" s="27" t="n">
        <v>3</v>
      </c>
      <c r="D39" s="27" t="n">
        <v>3</v>
      </c>
      <c r="E39" s="8" t="s">
        <v>160</v>
      </c>
    </row>
    <row r="40" customFormat="false" ht="30" hidden="false" customHeight="true" outlineLevel="0" collapsed="false">
      <c r="A40" s="6" t="s">
        <v>161</v>
      </c>
      <c r="B40" s="25" t="n">
        <v>50000</v>
      </c>
      <c r="C40" s="25" t="n">
        <v>50000</v>
      </c>
      <c r="D40" s="25" t="n">
        <v>50000</v>
      </c>
      <c r="E40" s="8" t="s">
        <v>162</v>
      </c>
    </row>
    <row r="41" customFormat="false" ht="30" hidden="false" customHeight="true" outlineLevel="0" collapsed="false">
      <c r="A41" s="6" t="s">
        <v>163</v>
      </c>
      <c r="B41" s="27" t="n">
        <v>12</v>
      </c>
      <c r="C41" s="27" t="n">
        <v>12</v>
      </c>
      <c r="D41" s="27" t="n">
        <v>12</v>
      </c>
      <c r="E41" s="8" t="s">
        <v>164</v>
      </c>
    </row>
    <row r="42" customFormat="false" ht="30" hidden="false" customHeight="true" outlineLevel="0" collapsed="false">
      <c r="A42" s="6" t="s">
        <v>165</v>
      </c>
      <c r="B42" s="25" t="n">
        <v>100000</v>
      </c>
      <c r="C42" s="25" t="n">
        <v>100000</v>
      </c>
      <c r="D42" s="25" t="n">
        <v>100000</v>
      </c>
      <c r="E42" s="8" t="s">
        <v>166</v>
      </c>
    </row>
    <row r="43" customFormat="false" ht="15" hidden="false" customHeight="false" outlineLevel="0" collapsed="false">
      <c r="A43" s="3" t="s">
        <v>167</v>
      </c>
      <c r="B43" s="4"/>
      <c r="C43" s="4"/>
      <c r="D43" s="4"/>
      <c r="E43" s="4"/>
    </row>
    <row r="44" customFormat="false" ht="30" hidden="false" customHeight="true" outlineLevel="0" collapsed="false">
      <c r="A44" s="6" t="s">
        <v>168</v>
      </c>
      <c r="B44" s="26" t="n">
        <v>0.15</v>
      </c>
      <c r="C44" s="26" t="n">
        <v>0.15</v>
      </c>
      <c r="D44" s="26" t="n">
        <v>0.15</v>
      </c>
      <c r="E44" s="8" t="s">
        <v>169</v>
      </c>
    </row>
    <row r="45" customFormat="false" ht="30" hidden="false" customHeight="true" outlineLevel="0" collapsed="false">
      <c r="A45" s="6" t="s">
        <v>170</v>
      </c>
      <c r="B45" s="26" t="n">
        <v>0.01</v>
      </c>
      <c r="C45" s="26" t="n">
        <v>0.01</v>
      </c>
      <c r="D45" s="26" t="n">
        <v>0.01</v>
      </c>
      <c r="E45" s="8" t="s">
        <v>171</v>
      </c>
    </row>
    <row r="46" customFormat="false" ht="30" hidden="false" customHeight="true" outlineLevel="0" collapsed="false">
      <c r="A46" s="6" t="s">
        <v>172</v>
      </c>
      <c r="B46" s="25" t="n">
        <v>20000000</v>
      </c>
      <c r="C46" s="25" t="n">
        <v>20000000</v>
      </c>
      <c r="D46" s="25" t="n">
        <v>20000000</v>
      </c>
      <c r="E46" s="8" t="s">
        <v>173</v>
      </c>
    </row>
    <row r="47" customFormat="false" ht="30" hidden="false" customHeight="true" outlineLevel="0" collapsed="false">
      <c r="A47" s="6" t="s">
        <v>174</v>
      </c>
      <c r="B47" s="26" t="n">
        <v>0.05</v>
      </c>
      <c r="C47" s="26" t="n">
        <v>0.05</v>
      </c>
      <c r="D47" s="26" t="n">
        <v>0.05</v>
      </c>
      <c r="E47" s="8" t="s">
        <v>175</v>
      </c>
    </row>
    <row r="48" customFormat="false" ht="30" hidden="false" customHeight="true" outlineLevel="0" collapsed="false">
      <c r="A48" s="6" t="s">
        <v>176</v>
      </c>
      <c r="B48" s="25" t="n">
        <v>27093</v>
      </c>
      <c r="C48" s="25" t="n">
        <v>27093</v>
      </c>
      <c r="D48" s="25" t="n">
        <v>27093</v>
      </c>
      <c r="E48" s="8" t="s">
        <v>177</v>
      </c>
    </row>
    <row r="49" customFormat="false" ht="30" hidden="false" customHeight="true" outlineLevel="0" collapsed="false">
      <c r="A49" s="6" t="s">
        <v>178</v>
      </c>
      <c r="B49" s="26" t="n">
        <v>0.3</v>
      </c>
      <c r="C49" s="26" t="n">
        <v>0.3</v>
      </c>
      <c r="D49" s="26" t="n">
        <v>0.3</v>
      </c>
      <c r="E49" s="8" t="s">
        <v>179</v>
      </c>
    </row>
    <row r="50" customFormat="false" ht="30" hidden="false" customHeight="true" outlineLevel="0" collapsed="false">
      <c r="A50" s="6" t="s">
        <v>180</v>
      </c>
      <c r="B50" s="26" t="n">
        <v>0.03</v>
      </c>
      <c r="C50" s="26" t="n">
        <v>0.03</v>
      </c>
      <c r="D50" s="26" t="n">
        <v>0.03</v>
      </c>
      <c r="E50" s="8" t="s">
        <v>181</v>
      </c>
    </row>
    <row r="51" customFormat="false" ht="15" hidden="false" customHeight="false" outlineLevel="0" collapsed="false">
      <c r="A51" s="3" t="s">
        <v>182</v>
      </c>
      <c r="B51" s="4"/>
      <c r="C51" s="4"/>
      <c r="D51" s="4"/>
      <c r="E51" s="4"/>
    </row>
    <row r="52" customFormat="false" ht="30" hidden="false" customHeight="true" outlineLevel="0" collapsed="false">
      <c r="A52" s="6" t="s">
        <v>183</v>
      </c>
      <c r="B52" s="25" t="n">
        <v>500000</v>
      </c>
      <c r="C52" s="25" t="n">
        <v>500000</v>
      </c>
      <c r="D52" s="25" t="n">
        <v>500000</v>
      </c>
      <c r="E52" s="8" t="s">
        <v>184</v>
      </c>
    </row>
    <row r="53" customFormat="false" ht="30" hidden="false" customHeight="true" outlineLevel="0" collapsed="false">
      <c r="A53" s="6" t="s">
        <v>185</v>
      </c>
      <c r="B53" s="27" t="n">
        <v>0</v>
      </c>
      <c r="C53" s="27" t="n">
        <v>0</v>
      </c>
      <c r="D53" s="27" t="n">
        <v>0</v>
      </c>
      <c r="E53" s="8" t="s">
        <v>186</v>
      </c>
    </row>
    <row r="55" customFormat="false" ht="15" hidden="false" customHeight="false" outlineLevel="0" collapsed="false">
      <c r="A55" s="16" t="s">
        <v>187</v>
      </c>
    </row>
    <row r="56" customFormat="false" ht="30" hidden="false" customHeight="true" outlineLevel="0" collapsed="false">
      <c r="A56" s="17" t="s">
        <v>46</v>
      </c>
      <c r="B56" s="28" t="s">
        <v>188</v>
      </c>
      <c r="C56" s="28"/>
      <c r="D56" s="28"/>
      <c r="E56" s="28"/>
    </row>
    <row r="57" customFormat="false" ht="30" hidden="false" customHeight="true" outlineLevel="0" collapsed="false">
      <c r="A57" s="17" t="s">
        <v>46</v>
      </c>
      <c r="B57" s="28" t="s">
        <v>189</v>
      </c>
      <c r="C57" s="28"/>
      <c r="D57" s="28"/>
      <c r="E57" s="28"/>
    </row>
    <row r="58" customFormat="false" ht="30" hidden="false" customHeight="true" outlineLevel="0" collapsed="false">
      <c r="A58" s="17" t="s">
        <v>46</v>
      </c>
      <c r="B58" s="28" t="s">
        <v>190</v>
      </c>
      <c r="C58" s="28"/>
      <c r="D58" s="28"/>
      <c r="E58" s="28"/>
    </row>
    <row r="59" customFormat="false" ht="30" hidden="false" customHeight="true" outlineLevel="0" collapsed="false">
      <c r="A59" s="17" t="s">
        <v>46</v>
      </c>
      <c r="B59" s="28" t="s">
        <v>191</v>
      </c>
      <c r="C59" s="28"/>
      <c r="D59" s="28"/>
      <c r="E59" s="28"/>
    </row>
  </sheetData>
  <mergeCells count="4">
    <mergeCell ref="B56:E56"/>
    <mergeCell ref="B57:E57"/>
    <mergeCell ref="B58:E58"/>
    <mergeCell ref="B59:E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2"/>
    <col collapsed="false" customWidth="true" hidden="false" outlineLevel="0" max="26" min="26" style="0" width="60"/>
  </cols>
  <sheetData>
    <row r="1" customFormat="false" ht="17.3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3" customFormat="false" ht="15" hidden="false" customHeight="false" outlineLevel="0" collapsed="false">
      <c r="A3" s="19" t="s">
        <v>194</v>
      </c>
      <c r="B3" s="19" t="s">
        <v>195</v>
      </c>
      <c r="C3" s="19" t="s">
        <v>196</v>
      </c>
      <c r="D3" s="19" t="s">
        <v>197</v>
      </c>
      <c r="E3" s="19" t="s">
        <v>198</v>
      </c>
      <c r="F3" s="19" t="s">
        <v>199</v>
      </c>
      <c r="G3" s="19" t="s">
        <v>200</v>
      </c>
      <c r="H3" s="19" t="s">
        <v>201</v>
      </c>
      <c r="I3" s="19" t="s">
        <v>202</v>
      </c>
      <c r="J3" s="19" t="s">
        <v>203</v>
      </c>
      <c r="K3" s="19" t="s">
        <v>204</v>
      </c>
      <c r="L3" s="19" t="s">
        <v>205</v>
      </c>
      <c r="M3" s="19" t="s">
        <v>206</v>
      </c>
      <c r="N3" s="19" t="s">
        <v>207</v>
      </c>
      <c r="O3" s="19" t="s">
        <v>208</v>
      </c>
      <c r="P3" s="19" t="s">
        <v>209</v>
      </c>
      <c r="Q3" s="19" t="s">
        <v>210</v>
      </c>
      <c r="R3" s="19" t="s">
        <v>211</v>
      </c>
      <c r="S3" s="19" t="s">
        <v>212</v>
      </c>
      <c r="T3" s="19" t="s">
        <v>213</v>
      </c>
      <c r="U3" s="19" t="s">
        <v>214</v>
      </c>
      <c r="V3" s="19" t="s">
        <v>215</v>
      </c>
      <c r="W3" s="19" t="s">
        <v>216</v>
      </c>
      <c r="X3" s="19" t="s">
        <v>217</v>
      </c>
      <c r="Y3" s="19" t="s">
        <v>218</v>
      </c>
    </row>
    <row r="4" customFormat="false" ht="15" hidden="false" customHeight="false" outlineLevel="0" collapsed="false">
      <c r="A4" s="3" t="s">
        <v>113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15" hidden="false" customHeight="false" outlineLevel="0" collapsed="false">
      <c r="A5" s="17" t="s">
        <v>219</v>
      </c>
      <c r="B5" s="11" t="n">
        <f aca="false">B8</f>
        <v>63</v>
      </c>
      <c r="C5" s="11" t="n">
        <f aca="false">B5+C8</f>
        <v>128</v>
      </c>
      <c r="D5" s="11" t="n">
        <f aca="false">C5+D8</f>
        <v>195</v>
      </c>
      <c r="E5" s="11" t="n">
        <f aca="false">D5+E8</f>
        <v>265</v>
      </c>
      <c r="F5" s="11" t="n">
        <f aca="false">E5+F8</f>
        <v>338</v>
      </c>
      <c r="G5" s="11" t="n">
        <f aca="false">F5+G8</f>
        <v>415</v>
      </c>
      <c r="H5" s="11" t="n">
        <f aca="false">G5+H8</f>
        <v>495</v>
      </c>
      <c r="I5" s="11" t="n">
        <f aca="false">H5+I8</f>
        <v>580</v>
      </c>
      <c r="J5" s="11" t="n">
        <f aca="false">I5+J8</f>
        <v>669</v>
      </c>
      <c r="K5" s="11" t="n">
        <f aca="false">J5+K8</f>
        <v>763</v>
      </c>
      <c r="L5" s="11" t="n">
        <f aca="false">K5+L8</f>
        <v>862</v>
      </c>
      <c r="M5" s="11" t="n">
        <f aca="false">L5+M8</f>
        <v>967</v>
      </c>
      <c r="N5" s="11" t="n">
        <f aca="false">M5+N8</f>
        <v>1078</v>
      </c>
      <c r="O5" s="11" t="n">
        <f aca="false">N5+O8</f>
        <v>1196</v>
      </c>
      <c r="P5" s="11" t="n">
        <f aca="false">O5+P8</f>
        <v>1322</v>
      </c>
      <c r="Q5" s="11" t="n">
        <f aca="false">P5+Q8</f>
        <v>1456</v>
      </c>
      <c r="R5" s="11" t="n">
        <f aca="false">Q5+R8</f>
        <v>1600</v>
      </c>
      <c r="S5" s="11" t="n">
        <f aca="false">R5+S8</f>
        <v>1753</v>
      </c>
      <c r="T5" s="11" t="n">
        <f aca="false">S5+T8</f>
        <v>1917</v>
      </c>
      <c r="U5" s="11" t="n">
        <f aca="false">T5+U8</f>
        <v>2093</v>
      </c>
      <c r="V5" s="11" t="n">
        <f aca="false">U5+V8</f>
        <v>2281</v>
      </c>
      <c r="W5" s="11" t="n">
        <f aca="false">V5+W8</f>
        <v>2483</v>
      </c>
      <c r="X5" s="11" t="n">
        <f aca="false">W5+X8</f>
        <v>2700</v>
      </c>
      <c r="Y5" s="11" t="n">
        <f aca="false">X5+Y8</f>
        <v>2933</v>
      </c>
    </row>
    <row r="6" customFormat="false" ht="15" hidden="false" customHeight="false" outlineLevel="0" collapsed="false">
      <c r="A6" s="17" t="s">
        <v>220</v>
      </c>
      <c r="B6" s="11" t="n">
        <f aca="false">Допущения!$B$17*(1+Допущения!$B$18)^0</f>
        <v>25</v>
      </c>
      <c r="C6" s="11" t="n">
        <f aca="false">Допущения!$B$17*(1+Допущения!$B$18)^1</f>
        <v>27.5</v>
      </c>
      <c r="D6" s="11" t="n">
        <f aca="false">Допущения!$B$17*(1+Допущения!$B$18)^2</f>
        <v>30.25</v>
      </c>
      <c r="E6" s="11" t="n">
        <f aca="false">Допущения!$B$17*(1+Допущения!$B$18)^3</f>
        <v>33.275</v>
      </c>
      <c r="F6" s="11" t="n">
        <f aca="false">Допущения!$B$17*(1+Допущения!$B$18)^4</f>
        <v>36.6025</v>
      </c>
      <c r="G6" s="11" t="n">
        <f aca="false">Допущения!$B$17*(1+Допущения!$B$18)^5</f>
        <v>40.26275</v>
      </c>
      <c r="H6" s="11" t="n">
        <f aca="false">Допущения!$B$17*(1+Допущения!$B$18)^6</f>
        <v>44.289025</v>
      </c>
      <c r="I6" s="11" t="n">
        <f aca="false">Допущения!$B$17*(1+Допущения!$B$18)^7</f>
        <v>48.7179275</v>
      </c>
      <c r="J6" s="11" t="n">
        <f aca="false">Допущения!$B$17*(1+Допущения!$B$18)^8</f>
        <v>53.58972025</v>
      </c>
      <c r="K6" s="11" t="n">
        <f aca="false">Допущения!$B$17*(1+Допущения!$B$18)^9</f>
        <v>58.9486922750001</v>
      </c>
      <c r="L6" s="11" t="n">
        <f aca="false">Допущения!$B$17*(1+Допущения!$B$18)^10</f>
        <v>64.8435615025001</v>
      </c>
      <c r="M6" s="11" t="n">
        <f aca="false">Допущения!$B$17*(1+Допущения!$B$18)^11</f>
        <v>71.3279176527501</v>
      </c>
      <c r="N6" s="11" t="n">
        <f aca="false">Допущения!$B$17*(1+Допущения!$B$18)^12</f>
        <v>78.4607094180251</v>
      </c>
      <c r="O6" s="11" t="n">
        <f aca="false">Допущения!$B$17*(1+Допущения!$B$18)^13</f>
        <v>86.3067803598276</v>
      </c>
      <c r="P6" s="11" t="n">
        <f aca="false">Допущения!$B$17*(1+Допущения!$B$18)^14</f>
        <v>94.9374583958104</v>
      </c>
      <c r="Q6" s="11" t="n">
        <f aca="false">Допущения!$B$17*(1+Допущения!$B$18)^15</f>
        <v>104.431204235391</v>
      </c>
      <c r="R6" s="11" t="n">
        <f aca="false">Допущения!$B$17*(1+Допущения!$B$18)^16</f>
        <v>114.874324658931</v>
      </c>
      <c r="S6" s="11" t="n">
        <f aca="false">Допущения!$B$17*(1+Допущения!$B$18)^17</f>
        <v>126.361757124824</v>
      </c>
      <c r="T6" s="11" t="n">
        <f aca="false">Допущения!$B$17*(1+Допущения!$B$18)^18</f>
        <v>138.997932837306</v>
      </c>
      <c r="U6" s="11" t="n">
        <f aca="false">Допущения!$B$17*(1+Допущения!$B$18)^19</f>
        <v>152.897726121037</v>
      </c>
      <c r="V6" s="11" t="n">
        <f aca="false">Допущения!$B$17*(1+Допущения!$B$18)^20</f>
        <v>168.18749873314</v>
      </c>
      <c r="W6" s="11" t="n">
        <f aca="false">Допущения!$B$17*(1+Допущения!$B$18)^21</f>
        <v>185.006248606454</v>
      </c>
      <c r="X6" s="11" t="n">
        <f aca="false">Допущения!$B$17*(1+Допущения!$B$18)^22</f>
        <v>203.5068734671</v>
      </c>
      <c r="Y6" s="11" t="n">
        <f aca="false">Допущения!$B$17*(1+Допущения!$B$18)^23</f>
        <v>223.85756081381</v>
      </c>
    </row>
    <row r="7" customFormat="false" ht="22.35" hidden="false" customHeight="false" outlineLevel="0" collapsed="false">
      <c r="A7" s="17" t="s">
        <v>221</v>
      </c>
      <c r="B7" s="11" t="n">
        <f aca="false">Допущения!$B$34/Допущения!$B$19</f>
        <v>37.5</v>
      </c>
      <c r="C7" s="11" t="n">
        <f aca="false">Допущения!$B$34/Допущения!$B$19</f>
        <v>37.5</v>
      </c>
      <c r="D7" s="11" t="n">
        <f aca="false">Допущения!$B$34/Допущения!$B$19</f>
        <v>37.5</v>
      </c>
      <c r="E7" s="11" t="n">
        <f aca="false">Допущения!$B$34/Допущения!$B$19</f>
        <v>37.5</v>
      </c>
      <c r="F7" s="11" t="n">
        <f aca="false">Допущения!$B$34/Допущения!$B$19</f>
        <v>37.5</v>
      </c>
      <c r="G7" s="11" t="n">
        <f aca="false">Допущения!$B$34/Допущения!$B$19</f>
        <v>37.5</v>
      </c>
      <c r="H7" s="11" t="n">
        <f aca="false">Допущения!$B$34/Допущения!$B$19</f>
        <v>37.5</v>
      </c>
      <c r="I7" s="11" t="n">
        <f aca="false">Допущения!$B$34/Допущения!$B$19</f>
        <v>37.5</v>
      </c>
      <c r="J7" s="11" t="n">
        <f aca="false">Допущения!$B$34/Допущения!$B$19</f>
        <v>37.5</v>
      </c>
      <c r="K7" s="11" t="n">
        <f aca="false">Допущения!$B$34/Допущения!$B$19</f>
        <v>37.5</v>
      </c>
      <c r="L7" s="11" t="n">
        <f aca="false">Допущения!$B$34/Допущения!$B$19</f>
        <v>37.5</v>
      </c>
      <c r="M7" s="11" t="n">
        <f aca="false">Допущения!$B$34/Допущения!$B$19</f>
        <v>37.5</v>
      </c>
      <c r="N7" s="11" t="n">
        <f aca="false">Допущения!$B$34/Допущения!$B$19</f>
        <v>37.5</v>
      </c>
      <c r="O7" s="11" t="n">
        <f aca="false">Допущения!$B$34/Допущения!$B$19</f>
        <v>37.5</v>
      </c>
      <c r="P7" s="11" t="n">
        <f aca="false">Допущения!$B$34/Допущения!$B$19</f>
        <v>37.5</v>
      </c>
      <c r="Q7" s="11" t="n">
        <f aca="false">Допущения!$B$34/Допущения!$B$19</f>
        <v>37.5</v>
      </c>
      <c r="R7" s="11" t="n">
        <f aca="false">Допущения!$B$34/Допущения!$B$19</f>
        <v>37.5</v>
      </c>
      <c r="S7" s="11" t="n">
        <f aca="false">Допущения!$B$34/Допущения!$B$19</f>
        <v>37.5</v>
      </c>
      <c r="T7" s="11" t="n">
        <f aca="false">Допущения!$B$34/Допущения!$B$19</f>
        <v>37.5</v>
      </c>
      <c r="U7" s="11" t="n">
        <f aca="false">Допущения!$B$34/Допущения!$B$19</f>
        <v>37.5</v>
      </c>
      <c r="V7" s="11" t="n">
        <f aca="false">Допущения!$B$34/Допущения!$B$19</f>
        <v>37.5</v>
      </c>
      <c r="W7" s="11" t="n">
        <f aca="false">Допущения!$B$34/Допущения!$B$19</f>
        <v>37.5</v>
      </c>
      <c r="X7" s="11" t="n">
        <f aca="false">Допущения!$B$34/Допущения!$B$19</f>
        <v>37.5</v>
      </c>
      <c r="Y7" s="11" t="n">
        <f aca="false">Допущения!$B$34/Допущения!$B$19</f>
        <v>37.5</v>
      </c>
      <c r="Z7" s="8" t="s">
        <v>222</v>
      </c>
    </row>
    <row r="8" customFormat="false" ht="32.8" hidden="false" customHeight="false" outlineLevel="0" collapsed="false">
      <c r="A8" s="17" t="s">
        <v>223</v>
      </c>
      <c r="B8" s="11" t="n">
        <f aca="false">ROUND((B6+B7)*1,0)</f>
        <v>63</v>
      </c>
      <c r="C8" s="11" t="n">
        <f aca="false">ROUND((C6+C7)*MAX(0,1-B5/Допущения!$B$15),0)</f>
        <v>65</v>
      </c>
      <c r="D8" s="11" t="n">
        <f aca="false">ROUND((D6+D7)*MAX(0,1-C5/Допущения!$B$15),0)</f>
        <v>67</v>
      </c>
      <c r="E8" s="11" t="n">
        <f aca="false">ROUND((E6+E7)*MAX(0,1-D5/Допущения!$B$15),0)</f>
        <v>70</v>
      </c>
      <c r="F8" s="11" t="n">
        <f aca="false">ROUND((F6+F7)*MAX(0,1-E5/Допущения!$B$15),0)</f>
        <v>73</v>
      </c>
      <c r="G8" s="11" t="n">
        <f aca="false">ROUND((G6+G7)*MAX(0,1-F5/Допущения!$B$15),0)</f>
        <v>77</v>
      </c>
      <c r="H8" s="11" t="n">
        <f aca="false">ROUND((H6+H7)*MAX(0,1-G5/Допущения!$B$15),0)</f>
        <v>80</v>
      </c>
      <c r="I8" s="11" t="n">
        <f aca="false">ROUND((I6+I7)*MAX(0,1-H5/Допущения!$B$15),0)</f>
        <v>85</v>
      </c>
      <c r="J8" s="11" t="n">
        <f aca="false">ROUND((J6+J7)*MAX(0,1-I5/Допущения!$B$15),0)</f>
        <v>89</v>
      </c>
      <c r="K8" s="11" t="n">
        <f aca="false">ROUND((K6+K7)*MAX(0,1-J5/Допущения!$B$15),0)</f>
        <v>94</v>
      </c>
      <c r="L8" s="11" t="n">
        <f aca="false">ROUND((L6+L7)*MAX(0,1-K5/Допущения!$B$15),0)</f>
        <v>99</v>
      </c>
      <c r="M8" s="11" t="n">
        <f aca="false">ROUND((M6+M7)*MAX(0,1-L5/Допущения!$B$15),0)</f>
        <v>105</v>
      </c>
      <c r="N8" s="11" t="n">
        <f aca="false">ROUND((N6+N7)*MAX(0,1-M5/Допущения!$B$15),0)</f>
        <v>111</v>
      </c>
      <c r="O8" s="11" t="n">
        <f aca="false">ROUND((O6+O7)*MAX(0,1-N5/Допущения!$B$15),0)</f>
        <v>118</v>
      </c>
      <c r="P8" s="11" t="n">
        <f aca="false">ROUND((P6+P7)*MAX(0,1-O5/Допущения!$B$15),0)</f>
        <v>126</v>
      </c>
      <c r="Q8" s="11" t="n">
        <f aca="false">ROUND((Q6+Q7)*MAX(0,1-P5/Допущения!$B$15),0)</f>
        <v>134</v>
      </c>
      <c r="R8" s="11" t="n">
        <f aca="false">ROUND((R6+R7)*MAX(0,1-Q5/Допущения!$B$15),0)</f>
        <v>144</v>
      </c>
      <c r="S8" s="11" t="n">
        <f aca="false">ROUND((S6+S7)*MAX(0,1-R5/Допущения!$B$15),0)</f>
        <v>153</v>
      </c>
      <c r="T8" s="11" t="n">
        <f aca="false">ROUND((T6+T7)*MAX(0,1-S5/Допущения!$B$15),0)</f>
        <v>164</v>
      </c>
      <c r="U8" s="11" t="n">
        <f aca="false">ROUND((U6+U7)*MAX(0,1-T5/Допущения!$B$15),0)</f>
        <v>176</v>
      </c>
      <c r="V8" s="11" t="n">
        <f aca="false">ROUND((V6+V7)*MAX(0,1-U5/Допущения!$B$15),0)</f>
        <v>188</v>
      </c>
      <c r="W8" s="11" t="n">
        <f aca="false">ROUND((W6+W7)*MAX(0,1-V5/Допущения!$B$15),0)</f>
        <v>202</v>
      </c>
      <c r="X8" s="11" t="n">
        <f aca="false">ROUND((X6+X7)*MAX(0,1-W5/Допущения!$B$15),0)</f>
        <v>217</v>
      </c>
      <c r="Y8" s="11" t="n">
        <f aca="false">ROUND((Y6+Y7)*MAX(0,1-X5/Допущения!$B$15),0)</f>
        <v>233</v>
      </c>
      <c r="Z8" s="8" t="s">
        <v>224</v>
      </c>
    </row>
    <row r="9" customFormat="false" ht="15" hidden="false" customHeight="false" outlineLevel="0" collapsed="false">
      <c r="A9" s="17" t="s">
        <v>225</v>
      </c>
      <c r="B9" s="11" t="n">
        <f aca="false">IF(COLUMN()-1-Допущения!$B$21&lt;1,0,IFERROR(ROUND(INDEX($B$8:$Y$8,1,COLUMN()-1-Допущения!$B$21)*Допущения!$B$20,0),0))</f>
        <v>0</v>
      </c>
      <c r="C9" s="11" t="n">
        <f aca="false">IF(COLUMN()-1-Допущения!$B$21&lt;1,0,IFERROR(ROUND(INDEX($B$8:$Y$8,1,COLUMN()-1-Допущения!$B$21)*Допущения!$B$20,0),0))</f>
        <v>0</v>
      </c>
      <c r="D9" s="11" t="n">
        <f aca="false">IF(COLUMN()-1-Допущения!$B$21&lt;1,0,IFERROR(ROUND(INDEX($B$8:$Y$8,1,COLUMN()-1-Допущения!$B$21)*Допущения!$B$20,0),0))</f>
        <v>6</v>
      </c>
      <c r="E9" s="11" t="n">
        <f aca="false">IF(COLUMN()-1-Допущения!$B$21&lt;1,0,IFERROR(ROUND(INDEX($B$8:$Y$8,1,COLUMN()-1-Допущения!$B$21)*Допущения!$B$20,0),0))</f>
        <v>6</v>
      </c>
      <c r="F9" s="11" t="n">
        <f aca="false">IF(COLUMN()-1-Допущения!$B$21&lt;1,0,IFERROR(ROUND(INDEX($B$8:$Y$8,1,COLUMN()-1-Допущения!$B$21)*Допущения!$B$20,0),0))</f>
        <v>6</v>
      </c>
      <c r="G9" s="11" t="n">
        <f aca="false">IF(COLUMN()-1-Допущения!$B$21&lt;1,0,IFERROR(ROUND(INDEX($B$8:$Y$8,1,COLUMN()-1-Допущения!$B$21)*Допущения!$B$20,0),0))</f>
        <v>6</v>
      </c>
      <c r="H9" s="11" t="n">
        <f aca="false">IF(COLUMN()-1-Допущения!$B$21&lt;1,0,IFERROR(ROUND(INDEX($B$8:$Y$8,1,COLUMN()-1-Допущения!$B$21)*Допущения!$B$20,0),0))</f>
        <v>7</v>
      </c>
      <c r="I9" s="11" t="n">
        <f aca="false">IF(COLUMN()-1-Допущения!$B$21&lt;1,0,IFERROR(ROUND(INDEX($B$8:$Y$8,1,COLUMN()-1-Допущения!$B$21)*Допущения!$B$20,0),0))</f>
        <v>7</v>
      </c>
      <c r="J9" s="11" t="n">
        <f aca="false">IF(COLUMN()-1-Допущения!$B$21&lt;1,0,IFERROR(ROUND(INDEX($B$8:$Y$8,1,COLUMN()-1-Допущения!$B$21)*Допущения!$B$20,0),0))</f>
        <v>7</v>
      </c>
      <c r="K9" s="11" t="n">
        <f aca="false">IF(COLUMN()-1-Допущения!$B$21&lt;1,0,IFERROR(ROUND(INDEX($B$8:$Y$8,1,COLUMN()-1-Допущения!$B$21)*Допущения!$B$20,0),0))</f>
        <v>8</v>
      </c>
      <c r="L9" s="11" t="n">
        <f aca="false">IF(COLUMN()-1-Допущения!$B$21&lt;1,0,IFERROR(ROUND(INDEX($B$8:$Y$8,1,COLUMN()-1-Допущения!$B$21)*Допущения!$B$20,0),0))</f>
        <v>8</v>
      </c>
      <c r="M9" s="11" t="n">
        <f aca="false">IF(COLUMN()-1-Допущения!$B$21&lt;1,0,IFERROR(ROUND(INDEX($B$8:$Y$8,1,COLUMN()-1-Допущения!$B$21)*Допущения!$B$20,0),0))</f>
        <v>8</v>
      </c>
      <c r="N9" s="11" t="n">
        <f aca="false">IF(COLUMN()-1-Допущения!$B$21&lt;1,0,IFERROR(ROUND(INDEX($B$8:$Y$8,1,COLUMN()-1-Допущения!$B$21)*Допущения!$B$20,0),0))</f>
        <v>9</v>
      </c>
      <c r="O9" s="11" t="n">
        <f aca="false">IF(COLUMN()-1-Допущения!$B$21&lt;1,0,IFERROR(ROUND(INDEX($B$8:$Y$8,1,COLUMN()-1-Допущения!$B$21)*Допущения!$B$20,0),0))</f>
        <v>9</v>
      </c>
      <c r="P9" s="11" t="n">
        <f aca="false">IF(COLUMN()-1-Допущения!$B$21&lt;1,0,IFERROR(ROUND(INDEX($B$8:$Y$8,1,COLUMN()-1-Допущения!$B$21)*Допущения!$B$20,0),0))</f>
        <v>10</v>
      </c>
      <c r="Q9" s="11" t="n">
        <f aca="false">IF(COLUMN()-1-Допущения!$B$21&lt;1,0,IFERROR(ROUND(INDEX($B$8:$Y$8,1,COLUMN()-1-Допущения!$B$21)*Допущения!$B$20,0),0))</f>
        <v>11</v>
      </c>
      <c r="R9" s="11" t="n">
        <f aca="false">IF(COLUMN()-1-Допущения!$B$21&lt;1,0,IFERROR(ROUND(INDEX($B$8:$Y$8,1,COLUMN()-1-Допущения!$B$21)*Допущения!$B$20,0),0))</f>
        <v>11</v>
      </c>
      <c r="S9" s="11" t="n">
        <f aca="false">IF(COLUMN()-1-Допущения!$B$21&lt;1,0,IFERROR(ROUND(INDEX($B$8:$Y$8,1,COLUMN()-1-Допущения!$B$21)*Допущения!$B$20,0),0))</f>
        <v>12</v>
      </c>
      <c r="T9" s="11" t="n">
        <f aca="false">IF(COLUMN()-1-Допущения!$B$21&lt;1,0,IFERROR(ROUND(INDEX($B$8:$Y$8,1,COLUMN()-1-Допущения!$B$21)*Допущения!$B$20,0),0))</f>
        <v>13</v>
      </c>
      <c r="U9" s="11" t="n">
        <f aca="false">IF(COLUMN()-1-Допущения!$B$21&lt;1,0,IFERROR(ROUND(INDEX($B$8:$Y$8,1,COLUMN()-1-Допущения!$B$21)*Допущения!$B$20,0),0))</f>
        <v>14</v>
      </c>
      <c r="V9" s="11" t="n">
        <f aca="false">IF(COLUMN()-1-Допущения!$B$21&lt;1,0,IFERROR(ROUND(INDEX($B$8:$Y$8,1,COLUMN()-1-Допущения!$B$21)*Допущения!$B$20,0),0))</f>
        <v>15</v>
      </c>
      <c r="W9" s="11" t="n">
        <f aca="false">IF(COLUMN()-1-Допущения!$B$21&lt;1,0,IFERROR(ROUND(INDEX($B$8:$Y$8,1,COLUMN()-1-Допущения!$B$21)*Допущения!$B$20,0),0))</f>
        <v>16</v>
      </c>
      <c r="X9" s="11" t="n">
        <f aca="false">IF(COLUMN()-1-Допущения!$B$21&lt;1,0,IFERROR(ROUND(INDEX($B$8:$Y$8,1,COLUMN()-1-Допущения!$B$21)*Допущения!$B$20,0),0))</f>
        <v>17</v>
      </c>
      <c r="Y9" s="11" t="n">
        <f aca="false">IF(COLUMN()-1-Допущения!$B$21&lt;1,0,IFERROR(ROUND(INDEX($B$8:$Y$8,1,COLUMN()-1-Допущения!$B$21)*Допущения!$B$20,0),0))</f>
        <v>18</v>
      </c>
      <c r="Z9" s="8" t="s">
        <v>226</v>
      </c>
    </row>
    <row r="10" customFormat="false" ht="22.35" hidden="false" customHeight="false" outlineLevel="0" collapsed="false">
      <c r="A10" s="17" t="s">
        <v>227</v>
      </c>
      <c r="B10" s="11" t="n">
        <f aca="false">MIN(Допущения!$B$53+B9,Допущения!$B$15*Допущения!$B$16)</f>
        <v>0</v>
      </c>
      <c r="C10" s="11" t="n">
        <f aca="false">MIN(B10*(1-Допущения!$B$12*(1-Допущения!$B$10*1/24))+C9,Допущения!$B$15*Допущения!$B$16)</f>
        <v>0</v>
      </c>
      <c r="D10" s="11" t="n">
        <f aca="false">MIN(C10*(1-Допущения!$B$12*(1-Допущения!$B$10*2/24))+D9,Допущения!$B$15*Допущения!$B$16)</f>
        <v>6</v>
      </c>
      <c r="E10" s="11" t="n">
        <f aca="false">MIN(D10*(1-Допущения!$B$12*(1-Допущения!$B$10*3/24))+E9,Допущения!$B$15*Допущения!$B$16)</f>
        <v>11.3565</v>
      </c>
      <c r="F10" s="11" t="n">
        <f aca="false">MIN(E10*(1-Допущения!$B$12*(1-Допущения!$B$10*4/24))+F9,Допущения!$B$15*Допущения!$B$16)</f>
        <v>16.1489255</v>
      </c>
      <c r="G10" s="11" t="n">
        <f aca="false">MIN(F10*(1-Допущения!$B$12*(1-Допущения!$B$10*5/24))+G9,Допущения!$B$15*Допущения!$B$16)</f>
        <v>20.4465596035417</v>
      </c>
      <c r="H10" s="11" t="n">
        <f aca="false">MIN(G10*(1-Допущения!$B$12*(1-Допущения!$B$10*6/24))+H9,Допущения!$B$15*Допущения!$B$16)</f>
        <v>25.3098941249716</v>
      </c>
      <c r="I10" s="11" t="n">
        <f aca="false">MIN(H10*(1-Допущения!$B$12*(1-Допущения!$B$10*7/24))+I9,Допущения!$B$15*Допущения!$B$16)</f>
        <v>29.6882109251933</v>
      </c>
      <c r="J10" s="11" t="n">
        <f aca="false">MIN(I10*(1-Допущения!$B$12*(1-Допущения!$B$10*8/24))+J9,Допущения!$B$15*Допущения!$B$16)</f>
        <v>33.6402212702068</v>
      </c>
      <c r="K10" s="11" t="n">
        <f aca="false">MIN(J10*(1-Допущения!$B$12*(1-Допущения!$B$10*9/24))+K9,Допущения!$B$15*Допущения!$B$16)</f>
        <v>38.2173287559632</v>
      </c>
      <c r="L10" s="11" t="n">
        <f aca="false">MIN(K10*(1-Допущения!$B$12*(1-Допущения!$B$10*10/24))+L9,Допущения!$B$15*Допущения!$B$16)</f>
        <v>42.3637481064036</v>
      </c>
      <c r="M10" s="11" t="n">
        <f aca="false">MIN(L10*(1-Допущения!$B$12*(1-Допущения!$B$10*11/24))+M9,Допущения!$B$15*Допущения!$B$16)</f>
        <v>46.1309036081054</v>
      </c>
      <c r="N10" s="11" t="n">
        <f aca="false">MIN(M10*(1-Допущения!$B$12*(1-Допущения!$B$10*12/24))+N9,Допущения!$B$15*Допущения!$B$16)</f>
        <v>50.563944150903</v>
      </c>
      <c r="O10" s="11" t="n">
        <f aca="false">MIN(N10*(1-Допущения!$B$12*(1-Допущения!$B$10*13/24))+O9,Допущения!$B$15*Допущения!$B$16)</f>
        <v>54.6044639621019</v>
      </c>
      <c r="P10" s="11" t="n">
        <f aca="false">MIN(O10*(1-Допущения!$B$12*(1-Допущения!$B$10*14/24))+P9,Допущения!$B$15*Допущения!$B$16)</f>
        <v>59.2987302137844</v>
      </c>
      <c r="Q10" s="11" t="n">
        <f aca="false">MIN(P10*(1-Допущения!$B$12*(1-Допущения!$B$10*15/24))+Q9,Допущения!$B$15*Допущения!$B$16)</f>
        <v>64.5912274307076</v>
      </c>
      <c r="R10" s="11" t="n">
        <f aca="false">MIN(Q10*(1-Допущения!$B$12*(1-Допущения!$B$10*16/24))+R9,Допущения!$B$15*Допущения!$B$16)</f>
        <v>69.4335304156468</v>
      </c>
      <c r="S10" s="11" t="n">
        <f aca="false">MIN(R10*(1-Допущения!$B$12*(1-Допущения!$B$10*17/24))+S9,Допущения!$B$15*Допущения!$B$16)</f>
        <v>74.8778479189028</v>
      </c>
      <c r="T10" s="11" t="n">
        <f aca="false">MIN(S10*(1-Допущения!$B$12*(1-Допущения!$B$10*18/24))+T9,Допущения!$B$15*Допущения!$B$16)</f>
        <v>80.8767691384854</v>
      </c>
      <c r="U10" s="11" t="n">
        <f aca="false">MIN(T10*(1-Допущения!$B$12*(1-Допущения!$B$10*19/24))+U9,Допущения!$B$15*Допущения!$B$16)</f>
        <v>87.388928262414</v>
      </c>
      <c r="V10" s="11" t="n">
        <f aca="false">MIN(U10*(1-Допущения!$B$12*(1-Допущения!$B$10*20/24))+V9,Допущения!$B$15*Допущения!$B$16)</f>
        <v>94.378276505026</v>
      </c>
      <c r="W10" s="11" t="n">
        <f aca="false">MIN(V10*(1-Допущения!$B$12*(1-Допущения!$B$10*21/24))+W9,Допущения!$B$15*Допущения!$B$16)</f>
        <v>101.813447912195</v>
      </c>
      <c r="X10" s="11" t="n">
        <f aca="false">MIN(W10*(1-Допущения!$B$12*(1-Допущения!$B$10*22/24))+X9,Допущения!$B$15*Допущения!$B$16)</f>
        <v>109.667206508083</v>
      </c>
      <c r="Y10" s="11" t="n">
        <f aca="false">MIN(X10*(1-Допущения!$B$12*(1-Допущения!$B$10*23/24))+Y9,Допущения!$B$15*Допущения!$B$16)</f>
        <v>117.915964062739</v>
      </c>
      <c r="Z10" s="8" t="s">
        <v>228</v>
      </c>
    </row>
    <row r="11" customFormat="false" ht="15" hidden="false" customHeight="false" outlineLevel="0" collapsed="false">
      <c r="A11" s="3" t="s">
        <v>229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customFormat="false" ht="22.35" hidden="false" customHeight="false" outlineLevel="0" collapsed="false">
      <c r="A12" s="17" t="s">
        <v>230</v>
      </c>
      <c r="B12" s="7" t="n">
        <f aca="false">B10*(Допущения!$B$8*(1-Допущения!$B$10*0/24)+Допущения!$B$9/12*Допущения!$B$10*0/24)</f>
        <v>0</v>
      </c>
      <c r="C12" s="7" t="n">
        <f aca="false">C10*(Допущения!$B$8*(1-Допущения!$B$10*1/24)+Допущения!$B$9/12*Допущения!$B$10*1/24)</f>
        <v>0</v>
      </c>
      <c r="D12" s="7" t="n">
        <f aca="false">D10*(Допущения!$B$8*(1-Допущения!$B$10*2/24)+Допущения!$B$9/12*Допущения!$B$10*2/24)</f>
        <v>4726.83333333333</v>
      </c>
      <c r="E12" s="7" t="n">
        <f aca="false">E10*(Допущения!$B$8*(1-Допущения!$B$10*3/24)+Допущения!$B$9/12*Допущения!$B$10*3/24)</f>
        <v>8934.2531875</v>
      </c>
      <c r="F12" s="7" t="n">
        <f aca="false">F10*(Допущения!$B$8*(1-Допущения!$B$10*4/24)+Допущения!$B$9/12*Допущения!$B$10*4/24)</f>
        <v>12686.7753053056</v>
      </c>
      <c r="G12" s="7" t="n">
        <f aca="false">G10*(Допущения!$B$8*(1-Допущения!$B$10*5/24)+Допущения!$B$9/12*Допущения!$B$10*5/24)</f>
        <v>16040.6099889729</v>
      </c>
      <c r="H12" s="7" t="n">
        <f aca="false">H10*(Допущения!$B$8*(1-Допущения!$B$10*6/24)+Допущения!$B$9/12*Допущения!$B$10*6/24)</f>
        <v>19828.1928890715</v>
      </c>
      <c r="I12" s="7" t="n">
        <f aca="false">I10*(Допущения!$B$8*(1-Допущения!$B$10*7/24)+Допущения!$B$9/12*Допущения!$B$10*7/24)</f>
        <v>23225.6646775467</v>
      </c>
      <c r="J12" s="7" t="n">
        <f aca="false">J10*(Допущения!$B$8*(1-Допущения!$B$10*8/24)+Допущения!$B$9/12*Допущения!$B$10*8/24)</f>
        <v>26280.4884167582</v>
      </c>
      <c r="K12" s="7" t="n">
        <f aca="false">K10*(Допущения!$B$8*(1-Допущения!$B$10*9/24)+Допущения!$B$9/12*Допущения!$B$10*9/24)</f>
        <v>29814.2935957458</v>
      </c>
      <c r="L12" s="7" t="n">
        <f aca="false">L10*(Допущения!$B$8*(1-Допущения!$B$10*10/24)+Допущения!$B$9/12*Допущения!$B$10*10/24)</f>
        <v>33002.5365456691</v>
      </c>
      <c r="M12" s="7" t="n">
        <f aca="false">M10*(Допущения!$B$8*(1-Допущения!$B$10*11/24)+Допущения!$B$9/12*Допущения!$B$10*11/24)</f>
        <v>35886.6394721333</v>
      </c>
      <c r="N12" s="7" t="n">
        <f aca="false">N10*(Допущения!$B$8*(1-Допущения!$B$10*12/24)+Допущения!$B$9/12*Допущения!$B$10*12/24)</f>
        <v>39279.7572812265</v>
      </c>
      <c r="O12" s="7" t="n">
        <f aca="false">O10*(Допущения!$B$8*(1-Допущения!$B$10*13/24)+Допущения!$B$9/12*Допущения!$B$10*13/24)</f>
        <v>42358.6545232678</v>
      </c>
      <c r="P12" s="7" t="n">
        <f aca="false">P10*(Допущения!$B$8*(1-Допущения!$B$10*14/24)+Допущения!$B$9/12*Допущения!$B$10*14/24)</f>
        <v>45935.1024853279</v>
      </c>
      <c r="Q12" s="7" t="n">
        <f aca="false">Q10*(Допущения!$B$8*(1-Допущения!$B$10*15/24)+Допущения!$B$9/12*Допущения!$B$10*15/24)</f>
        <v>49964.0057187953</v>
      </c>
      <c r="R12" s="7" t="n">
        <f aca="false">R10*(Допущения!$B$8*(1-Допущения!$B$10*16/24)+Допущения!$B$9/12*Допущения!$B$10*16/24)</f>
        <v>53633.5448277308</v>
      </c>
      <c r="S12" s="7" t="n">
        <f aca="false">S10*(Допущения!$B$8*(1-Допущения!$B$10*17/24)+Допущения!$B$9/12*Допущения!$B$10*17/24)</f>
        <v>57756.8199982237</v>
      </c>
      <c r="T12" s="7" t="n">
        <f aca="false">T10*(Допущения!$B$8*(1-Допущения!$B$10*18/24)+Допущения!$B$9/12*Допущения!$B$10*18/24)</f>
        <v>62295.3314289184</v>
      </c>
      <c r="U12" s="7" t="n">
        <f aca="false">U10*(Допущения!$B$8*(1-Допущения!$B$10*19/24)+Допущения!$B$9/12*Допущения!$B$10*19/24)</f>
        <v>67215.4369200587</v>
      </c>
      <c r="V12" s="7" t="n">
        <f aca="false">V10*(Допущения!$B$8*(1-Допущения!$B$10*20/24)+Допущения!$B$9/12*Допущения!$B$10*20/24)</f>
        <v>72487.7595934436</v>
      </c>
      <c r="W12" s="7" t="n">
        <f aca="false">W10*(Допущения!$B$8*(1-Допущения!$B$10*21/24)+Допущения!$B$9/12*Допущения!$B$10*21/24)</f>
        <v>78086.6723216572</v>
      </c>
      <c r="X12" s="7" t="n">
        <f aca="false">X10*(Допущения!$B$8*(1-Допущения!$B$10*22/24)+Допущения!$B$9/12*Допущения!$B$10*22/24)</f>
        <v>83989.8486287319</v>
      </c>
      <c r="Y12" s="7" t="n">
        <f aca="false">Y10*(Допущения!$B$8*(1-Допущения!$B$10*23/24)+Допущения!$B$9/12*Допущения!$B$10*23/24)</f>
        <v>90177.8712387028</v>
      </c>
      <c r="Z12" s="8" t="s">
        <v>231</v>
      </c>
    </row>
    <row r="13" customFormat="false" ht="15" hidden="false" customHeight="false" outlineLevel="0" collapsed="false">
      <c r="A13" s="17" t="s">
        <v>232</v>
      </c>
      <c r="B13" s="7" t="n">
        <f aca="false">B12+B9*Допущения!$B$10*0/24*(Допущения!$B$9-Допущения!$B$9/12)</f>
        <v>0</v>
      </c>
      <c r="C13" s="7" t="n">
        <f aca="false">C12+C9*Допущения!$B$10*1/24*(Допущения!$B$9-Допущения!$B$9/12)</f>
        <v>0</v>
      </c>
      <c r="D13" s="7" t="n">
        <f aca="false">D12+D9*Допущения!$B$10*2/24*(Допущения!$B$9-Допущения!$B$9/12)</f>
        <v>5451</v>
      </c>
      <c r="E13" s="7" t="n">
        <f aca="false">E12+E9*Допущения!$B$10*3/24*(Допущения!$B$9-Допущения!$B$9/12)</f>
        <v>10020.5031875</v>
      </c>
      <c r="F13" s="7" t="n">
        <f aca="false">F12+F9*Допущения!$B$10*4/24*(Допущения!$B$9-Допущения!$B$9/12)</f>
        <v>14135.1086386389</v>
      </c>
      <c r="G13" s="7" t="n">
        <f aca="false">G12+G9*Допущения!$B$10*5/24*(Допущения!$B$9-Допущения!$B$9/12)</f>
        <v>17851.0266556396</v>
      </c>
      <c r="H13" s="7" t="n">
        <f aca="false">H12+H9*Допущения!$B$10*6/24*(Допущения!$B$9-Допущения!$B$9/12)</f>
        <v>22362.7762224048</v>
      </c>
      <c r="I13" s="7" t="n">
        <f aca="false">I12+I9*Допущения!$B$10*7/24*(Допущения!$B$9-Допущения!$B$9/12)</f>
        <v>26182.6785664356</v>
      </c>
      <c r="J13" s="7" t="n">
        <f aca="false">J12+J9*Допущения!$B$10*8/24*(Допущения!$B$9-Допущения!$B$9/12)</f>
        <v>29659.9328612026</v>
      </c>
      <c r="K13" s="7" t="n">
        <f aca="false">K12+K9*Допущения!$B$10*9/24*(Допущения!$B$9-Допущения!$B$9/12)</f>
        <v>34159.2935957458</v>
      </c>
      <c r="L13" s="7" t="n">
        <f aca="false">L12+L9*Допущения!$B$10*10/24*(Допущения!$B$9-Допущения!$B$9/12)</f>
        <v>37830.3143234469</v>
      </c>
      <c r="M13" s="7" t="n">
        <f aca="false">M12+M9*Допущения!$B$10*11/24*(Допущения!$B$9-Допущения!$B$9/12)</f>
        <v>41197.1950276888</v>
      </c>
      <c r="N13" s="7" t="n">
        <f aca="false">N12+N9*Допущения!$B$10*12/24*(Допущения!$B$9-Допущения!$B$9/12)</f>
        <v>45797.2572812265</v>
      </c>
      <c r="O13" s="7" t="n">
        <f aca="false">O12+O9*Допущения!$B$10*13/24*(Допущения!$B$9-Допущения!$B$9/12)</f>
        <v>49419.2795232678</v>
      </c>
      <c r="P13" s="7" t="n">
        <f aca="false">P12+P9*Допущения!$B$10*14/24*(Допущения!$B$9-Допущения!$B$9/12)</f>
        <v>54383.713596439</v>
      </c>
      <c r="Q13" s="7" t="n">
        <f aca="false">Q12+Q9*Допущения!$B$10*15/24*(Допущения!$B$9-Допущения!$B$9/12)</f>
        <v>59921.297385462</v>
      </c>
      <c r="R13" s="7" t="n">
        <f aca="false">R12+R9*Допущения!$B$10*16/24*(Допущения!$B$9-Допущения!$B$9/12)</f>
        <v>64254.6559388419</v>
      </c>
      <c r="S13" s="7" t="n">
        <f aca="false">S12+S9*Допущения!$B$10*17/24*(Допущения!$B$9-Допущения!$B$9/12)</f>
        <v>70067.653331557</v>
      </c>
      <c r="T13" s="7" t="n">
        <f aca="false">T12+T9*Допущения!$B$10*18/24*(Допущения!$B$9-Допущения!$B$9/12)</f>
        <v>76416.5814289184</v>
      </c>
      <c r="U13" s="7" t="n">
        <f aca="false">U12+U9*Допущения!$B$10*19/24*(Допущения!$B$9-Допущения!$B$9/12)</f>
        <v>83267.7980311698</v>
      </c>
      <c r="V13" s="7" t="n">
        <f aca="false">V12+V9*Допущения!$B$10*20/24*(Допущения!$B$9-Допущения!$B$9/12)</f>
        <v>90591.9262601103</v>
      </c>
      <c r="W13" s="7" t="n">
        <f aca="false">W12+W9*Допущения!$B$10*21/24*(Допущения!$B$9-Допущения!$B$9/12)</f>
        <v>98363.3389883238</v>
      </c>
      <c r="X13" s="7" t="n">
        <f aca="false">X12+X9*Допущения!$B$10*22/24*(Допущения!$B$9-Допущения!$B$9/12)</f>
        <v>106559.709739843</v>
      </c>
      <c r="Y13" s="7" t="n">
        <f aca="false">Y12+Y9*Допущения!$B$10*23/24*(Допущения!$B$9-Допущения!$B$9/12)</f>
        <v>115161.621238703</v>
      </c>
      <c r="Z13" s="8" t="s">
        <v>233</v>
      </c>
    </row>
    <row r="14" customFormat="false" ht="15" hidden="false" customHeight="false" outlineLevel="0" collapsed="false">
      <c r="A14" s="3" t="s">
        <v>234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customFormat="false" ht="15" hidden="false" customHeight="false" outlineLevel="0" collapsed="false">
      <c r="A15" s="17" t="s">
        <v>129</v>
      </c>
      <c r="B15" s="7" t="n">
        <f aca="false">Допущения!$B$23</f>
        <v>5300</v>
      </c>
      <c r="C15" s="7" t="n">
        <f aca="false">Допущения!$B$23</f>
        <v>5300</v>
      </c>
      <c r="D15" s="7" t="n">
        <f aca="false">Допущения!$B$23</f>
        <v>5300</v>
      </c>
      <c r="E15" s="7" t="n">
        <f aca="false">Допущения!$B$23</f>
        <v>5300</v>
      </c>
      <c r="F15" s="7" t="n">
        <f aca="false">Допущения!$B$23</f>
        <v>5300</v>
      </c>
      <c r="G15" s="7" t="n">
        <f aca="false">Допущения!$B$23</f>
        <v>5300</v>
      </c>
      <c r="H15" s="7" t="n">
        <f aca="false">Допущения!$B$23</f>
        <v>5300</v>
      </c>
      <c r="I15" s="7" t="n">
        <f aca="false">Допущения!$B$23</f>
        <v>5300</v>
      </c>
      <c r="J15" s="7" t="n">
        <f aca="false">Допущения!$B$23</f>
        <v>5300</v>
      </c>
      <c r="K15" s="7" t="n">
        <f aca="false">Допущения!$B$23</f>
        <v>5300</v>
      </c>
      <c r="L15" s="7" t="n">
        <f aca="false">Допущения!$B$23</f>
        <v>5300</v>
      </c>
      <c r="M15" s="7" t="n">
        <f aca="false">Допущения!$B$23</f>
        <v>5300</v>
      </c>
      <c r="N15" s="7" t="n">
        <f aca="false">Допущения!$B$23</f>
        <v>5300</v>
      </c>
      <c r="O15" s="7" t="n">
        <f aca="false">Допущения!$B$23</f>
        <v>5300</v>
      </c>
      <c r="P15" s="7" t="n">
        <f aca="false">Допущения!$B$23</f>
        <v>5300</v>
      </c>
      <c r="Q15" s="7" t="n">
        <f aca="false">Допущения!$B$23</f>
        <v>5300</v>
      </c>
      <c r="R15" s="7" t="n">
        <f aca="false">Допущения!$B$23</f>
        <v>5300</v>
      </c>
      <c r="S15" s="7" t="n">
        <f aca="false">Допущения!$B$23</f>
        <v>5300</v>
      </c>
      <c r="T15" s="7" t="n">
        <f aca="false">Допущения!$B$23</f>
        <v>5300</v>
      </c>
      <c r="U15" s="7" t="n">
        <f aca="false">Допущения!$B$23</f>
        <v>5300</v>
      </c>
      <c r="V15" s="7" t="n">
        <f aca="false">Допущения!$B$23</f>
        <v>5300</v>
      </c>
      <c r="W15" s="7" t="n">
        <f aca="false">Допущения!$B$23</f>
        <v>5300</v>
      </c>
      <c r="X15" s="7" t="n">
        <f aca="false">Допущения!$B$23</f>
        <v>5300</v>
      </c>
      <c r="Y15" s="7" t="n">
        <f aca="false">Допущения!$B$23</f>
        <v>5300</v>
      </c>
    </row>
    <row r="16" customFormat="false" ht="15" hidden="false" customHeight="false" outlineLevel="0" collapsed="false">
      <c r="A16" s="17" t="s">
        <v>131</v>
      </c>
      <c r="B16" s="7" t="n">
        <f aca="false">Допущения!$B$24+B10*Допущения!$B$28</f>
        <v>7000</v>
      </c>
      <c r="C16" s="7" t="n">
        <f aca="false">Допущения!$B$24+C10*Допущения!$B$28</f>
        <v>7000</v>
      </c>
      <c r="D16" s="7" t="n">
        <f aca="false">Допущения!$B$24+D10*Допущения!$B$28</f>
        <v>7540</v>
      </c>
      <c r="E16" s="7" t="n">
        <f aca="false">Допущения!$B$24+E10*Допущения!$B$28</f>
        <v>8022.085</v>
      </c>
      <c r="F16" s="7" t="n">
        <f aca="false">Допущения!$B$24+F10*Допущения!$B$28</f>
        <v>8453.403295</v>
      </c>
      <c r="G16" s="7" t="n">
        <f aca="false">Допущения!$B$24+G10*Допущения!$B$28</f>
        <v>8840.19036431875</v>
      </c>
      <c r="H16" s="7" t="n">
        <f aca="false">Допущения!$B$24+H10*Допущения!$B$28</f>
        <v>9277.89047124744</v>
      </c>
      <c r="I16" s="7" t="n">
        <f aca="false">Допущения!$B$24+I10*Допущения!$B$28</f>
        <v>9671.93898326739</v>
      </c>
      <c r="J16" s="7" t="n">
        <f aca="false">Допущения!$B$24+J10*Допущения!$B$28</f>
        <v>10027.6199143186</v>
      </c>
      <c r="K16" s="7" t="n">
        <f aca="false">Допущения!$B$24+K10*Допущения!$B$28</f>
        <v>10439.5595880367</v>
      </c>
      <c r="L16" s="7" t="n">
        <f aca="false">Допущения!$B$24+L10*Допущения!$B$28</f>
        <v>10812.7373295763</v>
      </c>
      <c r="M16" s="7" t="n">
        <f aca="false">Допущения!$B$24+M10*Допущения!$B$28</f>
        <v>11151.7813247295</v>
      </c>
      <c r="N16" s="7" t="n">
        <f aca="false">Допущения!$B$24+N10*Допущения!$B$28</f>
        <v>11550.7549735813</v>
      </c>
      <c r="O16" s="7" t="n">
        <f aca="false">Допущения!$B$24+O10*Допущения!$B$28</f>
        <v>11914.4017565892</v>
      </c>
      <c r="P16" s="7" t="n">
        <f aca="false">Допущения!$B$24+P10*Допущения!$B$28</f>
        <v>12336.8857192406</v>
      </c>
      <c r="Q16" s="7" t="n">
        <f aca="false">Допущения!$B$24+Q10*Допущения!$B$28</f>
        <v>12813.2104687637</v>
      </c>
      <c r="R16" s="7" t="n">
        <f aca="false">Допущения!$B$24+R10*Допущения!$B$28</f>
        <v>13249.0177374082</v>
      </c>
      <c r="S16" s="7" t="n">
        <f aca="false">Допущения!$B$24+S10*Допущения!$B$28</f>
        <v>13739.0063127013</v>
      </c>
      <c r="T16" s="7" t="n">
        <f aca="false">Допущения!$B$24+T10*Допущения!$B$28</f>
        <v>14278.9092224637</v>
      </c>
      <c r="U16" s="7" t="n">
        <f aca="false">Допущения!$B$24+U10*Допущения!$B$28</f>
        <v>14865.0035436173</v>
      </c>
      <c r="V16" s="7" t="n">
        <f aca="false">Допущения!$B$24+V10*Допущения!$B$28</f>
        <v>15494.0448854523</v>
      </c>
      <c r="W16" s="7" t="n">
        <f aca="false">Допущения!$B$24+W10*Допущения!$B$28</f>
        <v>16163.2103120975</v>
      </c>
      <c r="X16" s="7" t="n">
        <f aca="false">Допущения!$B$24+X10*Допущения!$B$28</f>
        <v>16870.0485857274</v>
      </c>
      <c r="Y16" s="7" t="n">
        <f aca="false">Допущения!$B$24+Y10*Допущения!$B$28</f>
        <v>17612.4367656465</v>
      </c>
      <c r="Z16" s="8" t="s">
        <v>235</v>
      </c>
    </row>
    <row r="17" customFormat="false" ht="15" hidden="false" customHeight="false" outlineLevel="0" collapsed="false">
      <c r="A17" s="17" t="s">
        <v>133</v>
      </c>
      <c r="B17" s="7" t="n">
        <f aca="false">Допущения!$B$25</f>
        <v>20000</v>
      </c>
      <c r="C17" s="7" t="n">
        <f aca="false">Допущения!$B$25</f>
        <v>20000</v>
      </c>
      <c r="D17" s="7" t="n">
        <f aca="false">Допущения!$B$25</f>
        <v>20000</v>
      </c>
      <c r="E17" s="7" t="n">
        <f aca="false">Допущения!$B$25</f>
        <v>20000</v>
      </c>
      <c r="F17" s="7" t="n">
        <f aca="false">Допущения!$B$25</f>
        <v>20000</v>
      </c>
      <c r="G17" s="7" t="n">
        <f aca="false">Допущения!$B$25</f>
        <v>20000</v>
      </c>
      <c r="H17" s="7" t="n">
        <f aca="false">Допущения!$B$25</f>
        <v>20000</v>
      </c>
      <c r="I17" s="7" t="n">
        <f aca="false">Допущения!$B$25</f>
        <v>20000</v>
      </c>
      <c r="J17" s="7" t="n">
        <f aca="false">Допущения!$B$25</f>
        <v>20000</v>
      </c>
      <c r="K17" s="7" t="n">
        <f aca="false">Допущения!$B$25</f>
        <v>20000</v>
      </c>
      <c r="L17" s="7" t="n">
        <f aca="false">Допущения!$B$25</f>
        <v>20000</v>
      </c>
      <c r="M17" s="7" t="n">
        <f aca="false">Допущения!$B$25</f>
        <v>20000</v>
      </c>
      <c r="N17" s="7" t="n">
        <f aca="false">Допущения!$B$25</f>
        <v>20000</v>
      </c>
      <c r="O17" s="7" t="n">
        <f aca="false">Допущения!$B$25</f>
        <v>20000</v>
      </c>
      <c r="P17" s="7" t="n">
        <f aca="false">Допущения!$B$25</f>
        <v>20000</v>
      </c>
      <c r="Q17" s="7" t="n">
        <f aca="false">Допущения!$B$25</f>
        <v>20000</v>
      </c>
      <c r="R17" s="7" t="n">
        <f aca="false">Допущения!$B$25</f>
        <v>20000</v>
      </c>
      <c r="S17" s="7" t="n">
        <f aca="false">Допущения!$B$25</f>
        <v>20000</v>
      </c>
      <c r="T17" s="7" t="n">
        <f aca="false">Допущения!$B$25</f>
        <v>20000</v>
      </c>
      <c r="U17" s="7" t="n">
        <f aca="false">Допущения!$B$25</f>
        <v>20000</v>
      </c>
      <c r="V17" s="7" t="n">
        <f aca="false">Допущения!$B$25</f>
        <v>20000</v>
      </c>
      <c r="W17" s="7" t="n">
        <f aca="false">Допущения!$B$25</f>
        <v>20000</v>
      </c>
      <c r="X17" s="7" t="n">
        <f aca="false">Допущения!$B$25</f>
        <v>20000</v>
      </c>
      <c r="Y17" s="7" t="n">
        <f aca="false">Допущения!$B$25</f>
        <v>20000</v>
      </c>
    </row>
    <row r="18" customFormat="false" ht="15" hidden="false" customHeight="false" outlineLevel="0" collapsed="false">
      <c r="A18" s="17" t="s">
        <v>236</v>
      </c>
      <c r="B18" s="7" t="n">
        <f aca="false">Допущения!$B$30</f>
        <v>8000</v>
      </c>
      <c r="C18" s="7" t="n">
        <f aca="false">Допущения!$B$30</f>
        <v>8000</v>
      </c>
      <c r="D18" s="7" t="n">
        <f aca="false">Допущения!$B$30</f>
        <v>8000</v>
      </c>
      <c r="E18" s="7" t="n">
        <f aca="false">Допущения!$B$30</f>
        <v>8000</v>
      </c>
      <c r="F18" s="7" t="n">
        <f aca="false">Допущения!$B$30</f>
        <v>8000</v>
      </c>
      <c r="G18" s="7" t="n">
        <f aca="false">Допущения!$B$30</f>
        <v>8000</v>
      </c>
      <c r="H18" s="7" t="n">
        <f aca="false">Допущения!$B$30</f>
        <v>8000</v>
      </c>
      <c r="I18" s="7" t="n">
        <f aca="false">Допущения!$B$30</f>
        <v>8000</v>
      </c>
      <c r="J18" s="7" t="n">
        <f aca="false">Допущения!$B$30</f>
        <v>8000</v>
      </c>
      <c r="K18" s="7" t="n">
        <f aca="false">Допущения!$B$30</f>
        <v>8000</v>
      </c>
      <c r="L18" s="7" t="n">
        <f aca="false">Допущения!$B$30</f>
        <v>8000</v>
      </c>
      <c r="M18" s="7" t="n">
        <f aca="false">Допущения!$B$30</f>
        <v>8000</v>
      </c>
      <c r="N18" s="7" t="n">
        <f aca="false">Допущения!$B$30</f>
        <v>8000</v>
      </c>
      <c r="O18" s="7" t="n">
        <f aca="false">Допущения!$B$30</f>
        <v>8000</v>
      </c>
      <c r="P18" s="7" t="n">
        <f aca="false">Допущения!$B$30</f>
        <v>8000</v>
      </c>
      <c r="Q18" s="7" t="n">
        <f aca="false">Допущения!$B$30</f>
        <v>8000</v>
      </c>
      <c r="R18" s="7" t="n">
        <f aca="false">Допущения!$B$30</f>
        <v>8000</v>
      </c>
      <c r="S18" s="7" t="n">
        <f aca="false">Допущения!$B$30</f>
        <v>8000</v>
      </c>
      <c r="T18" s="7" t="n">
        <f aca="false">Допущения!$B$30</f>
        <v>8000</v>
      </c>
      <c r="U18" s="7" t="n">
        <f aca="false">Допущения!$B$30</f>
        <v>8000</v>
      </c>
      <c r="V18" s="7" t="n">
        <f aca="false">Допущения!$B$30</f>
        <v>8000</v>
      </c>
      <c r="W18" s="7" t="n">
        <f aca="false">Допущения!$B$30</f>
        <v>8000</v>
      </c>
      <c r="X18" s="7" t="n">
        <f aca="false">Допущения!$B$30</f>
        <v>8000</v>
      </c>
      <c r="Y18" s="7" t="n">
        <f aca="false">Допущения!$B$30</f>
        <v>8000</v>
      </c>
    </row>
    <row r="19" customFormat="false" ht="15" hidden="false" customHeight="false" outlineLevel="0" collapsed="false">
      <c r="A19" s="17" t="s">
        <v>144</v>
      </c>
      <c r="B19" s="7" t="n">
        <f aca="false">Допущения!$B$31</f>
        <v>2500</v>
      </c>
      <c r="C19" s="7" t="n">
        <f aca="false">Допущения!$B$31</f>
        <v>2500</v>
      </c>
      <c r="D19" s="7" t="n">
        <f aca="false">Допущения!$B$31</f>
        <v>2500</v>
      </c>
      <c r="E19" s="7" t="n">
        <f aca="false">Допущения!$B$31</f>
        <v>2500</v>
      </c>
      <c r="F19" s="7" t="n">
        <f aca="false">Допущения!$B$31</f>
        <v>2500</v>
      </c>
      <c r="G19" s="7" t="n">
        <f aca="false">Допущения!$B$31</f>
        <v>2500</v>
      </c>
      <c r="H19" s="7" t="n">
        <f aca="false">Допущения!$B$31</f>
        <v>2500</v>
      </c>
      <c r="I19" s="7" t="n">
        <f aca="false">Допущения!$B$31</f>
        <v>2500</v>
      </c>
      <c r="J19" s="7" t="n">
        <f aca="false">Допущения!$B$31</f>
        <v>2500</v>
      </c>
      <c r="K19" s="7" t="n">
        <f aca="false">Допущения!$B$31</f>
        <v>2500</v>
      </c>
      <c r="L19" s="7" t="n">
        <f aca="false">Допущения!$B$31</f>
        <v>2500</v>
      </c>
      <c r="M19" s="7" t="n">
        <f aca="false">Допущения!$B$31</f>
        <v>2500</v>
      </c>
      <c r="N19" s="7" t="n">
        <f aca="false">Допущения!$B$31</f>
        <v>2500</v>
      </c>
      <c r="O19" s="7" t="n">
        <f aca="false">Допущения!$B$31</f>
        <v>2500</v>
      </c>
      <c r="P19" s="7" t="n">
        <f aca="false">Допущения!$B$31</f>
        <v>2500</v>
      </c>
      <c r="Q19" s="7" t="n">
        <f aca="false">Допущения!$B$31</f>
        <v>2500</v>
      </c>
      <c r="R19" s="7" t="n">
        <f aca="false">Допущения!$B$31</f>
        <v>2500</v>
      </c>
      <c r="S19" s="7" t="n">
        <f aca="false">Допущения!$B$31</f>
        <v>2500</v>
      </c>
      <c r="T19" s="7" t="n">
        <f aca="false">Допущения!$B$31</f>
        <v>2500</v>
      </c>
      <c r="U19" s="7" t="n">
        <f aca="false">Допущения!$B$31</f>
        <v>2500</v>
      </c>
      <c r="V19" s="7" t="n">
        <f aca="false">Допущения!$B$31</f>
        <v>2500</v>
      </c>
      <c r="W19" s="7" t="n">
        <f aca="false">Допущения!$B$31</f>
        <v>2500</v>
      </c>
      <c r="X19" s="7" t="n">
        <f aca="false">Допущения!$B$31</f>
        <v>2500</v>
      </c>
      <c r="Y19" s="7" t="n">
        <f aca="false">Допущения!$B$31</f>
        <v>2500</v>
      </c>
      <c r="Z19" s="8" t="s">
        <v>237</v>
      </c>
    </row>
    <row r="20" customFormat="false" ht="15" hidden="false" customHeight="false" outlineLevel="0" collapsed="false">
      <c r="A20" s="17" t="s">
        <v>238</v>
      </c>
      <c r="B20" s="7" t="n">
        <f aca="false">Допущения!$B$32</f>
        <v>12000</v>
      </c>
      <c r="C20" s="7" t="n">
        <f aca="false">Допущения!$B$32</f>
        <v>12000</v>
      </c>
      <c r="D20" s="7" t="n">
        <f aca="false">Допущения!$B$32</f>
        <v>12000</v>
      </c>
      <c r="E20" s="7" t="n">
        <f aca="false">Допущения!$B$32</f>
        <v>12000</v>
      </c>
      <c r="F20" s="7" t="n">
        <f aca="false">Допущения!$B$32</f>
        <v>12000</v>
      </c>
      <c r="G20" s="7" t="n">
        <f aca="false">Допущения!$B$32</f>
        <v>12000</v>
      </c>
      <c r="H20" s="7" t="n">
        <f aca="false">Допущения!$B$32</f>
        <v>12000</v>
      </c>
      <c r="I20" s="7" t="n">
        <f aca="false">Допущения!$B$32</f>
        <v>12000</v>
      </c>
      <c r="J20" s="7" t="n">
        <f aca="false">Допущения!$B$32</f>
        <v>12000</v>
      </c>
      <c r="K20" s="7" t="n">
        <f aca="false">Допущения!$B$32</f>
        <v>12000</v>
      </c>
      <c r="L20" s="7" t="n">
        <f aca="false">Допущения!$B$32</f>
        <v>12000</v>
      </c>
      <c r="M20" s="7" t="n">
        <f aca="false">Допущения!$B$32</f>
        <v>12000</v>
      </c>
      <c r="N20" s="7" t="n">
        <f aca="false">Допущения!$B$32</f>
        <v>12000</v>
      </c>
      <c r="O20" s="7" t="n">
        <f aca="false">Допущения!$B$32</f>
        <v>12000</v>
      </c>
      <c r="P20" s="7" t="n">
        <f aca="false">Допущения!$B$32</f>
        <v>12000</v>
      </c>
      <c r="Q20" s="7" t="n">
        <f aca="false">Допущения!$B$32</f>
        <v>12000</v>
      </c>
      <c r="R20" s="7" t="n">
        <f aca="false">Допущения!$B$32</f>
        <v>12000</v>
      </c>
      <c r="S20" s="7" t="n">
        <f aca="false">Допущения!$B$32</f>
        <v>12000</v>
      </c>
      <c r="T20" s="7" t="n">
        <f aca="false">Допущения!$B$32</f>
        <v>12000</v>
      </c>
      <c r="U20" s="7" t="n">
        <f aca="false">Допущения!$B$32</f>
        <v>12000</v>
      </c>
      <c r="V20" s="7" t="n">
        <f aca="false">Допущения!$B$32</f>
        <v>12000</v>
      </c>
      <c r="W20" s="7" t="n">
        <f aca="false">Допущения!$B$32</f>
        <v>12000</v>
      </c>
      <c r="X20" s="7" t="n">
        <f aca="false">Допущения!$B$32</f>
        <v>12000</v>
      </c>
      <c r="Y20" s="7" t="n">
        <f aca="false">Допущения!$B$32</f>
        <v>12000</v>
      </c>
    </row>
    <row r="21" customFormat="false" ht="15" hidden="false" customHeight="false" outlineLevel="0" collapsed="false">
      <c r="A21" s="17" t="s">
        <v>239</v>
      </c>
      <c r="B21" s="7" t="n">
        <f aca="false">Допущения!$B$26</f>
        <v>3000</v>
      </c>
      <c r="C21" s="7" t="n">
        <f aca="false">Допущения!$B$26</f>
        <v>3000</v>
      </c>
      <c r="D21" s="7" t="n">
        <f aca="false">Допущения!$B$26</f>
        <v>3000</v>
      </c>
      <c r="E21" s="7" t="n">
        <f aca="false">Допущения!$B$26</f>
        <v>3000</v>
      </c>
      <c r="F21" s="7" t="n">
        <f aca="false">Допущения!$B$26</f>
        <v>3000</v>
      </c>
      <c r="G21" s="7" t="n">
        <f aca="false">Допущения!$B$26</f>
        <v>3000</v>
      </c>
      <c r="H21" s="7" t="n">
        <f aca="false">Допущения!$B$26</f>
        <v>3000</v>
      </c>
      <c r="I21" s="7" t="n">
        <f aca="false">Допущения!$B$26</f>
        <v>3000</v>
      </c>
      <c r="J21" s="7" t="n">
        <f aca="false">Допущения!$B$26</f>
        <v>3000</v>
      </c>
      <c r="K21" s="7" t="n">
        <f aca="false">Допущения!$B$26</f>
        <v>3000</v>
      </c>
      <c r="L21" s="7" t="n">
        <f aca="false">Допущения!$B$26</f>
        <v>3000</v>
      </c>
      <c r="M21" s="7" t="n">
        <f aca="false">Допущения!$B$26</f>
        <v>3000</v>
      </c>
      <c r="N21" s="7" t="n">
        <f aca="false">Допущения!$B$26</f>
        <v>3000</v>
      </c>
      <c r="O21" s="7" t="n">
        <f aca="false">Допущения!$B$26</f>
        <v>3000</v>
      </c>
      <c r="P21" s="7" t="n">
        <f aca="false">Допущения!$B$26</f>
        <v>3000</v>
      </c>
      <c r="Q21" s="7" t="n">
        <f aca="false">Допущения!$B$26</f>
        <v>3000</v>
      </c>
      <c r="R21" s="7" t="n">
        <f aca="false">Допущения!$B$26</f>
        <v>3000</v>
      </c>
      <c r="S21" s="7" t="n">
        <f aca="false">Допущения!$B$26</f>
        <v>3000</v>
      </c>
      <c r="T21" s="7" t="n">
        <f aca="false">Допущения!$B$26</f>
        <v>3000</v>
      </c>
      <c r="U21" s="7" t="n">
        <f aca="false">Допущения!$B$26</f>
        <v>3000</v>
      </c>
      <c r="V21" s="7" t="n">
        <f aca="false">Допущения!$B$26</f>
        <v>3000</v>
      </c>
      <c r="W21" s="7" t="n">
        <f aca="false">Допущения!$B$26</f>
        <v>3000</v>
      </c>
      <c r="X21" s="7" t="n">
        <f aca="false">Допущения!$B$26</f>
        <v>3000</v>
      </c>
      <c r="Y21" s="7" t="n">
        <f aca="false">Допущения!$B$26</f>
        <v>3000</v>
      </c>
    </row>
    <row r="22" customFormat="false" ht="15" hidden="false" customHeight="false" outlineLevel="0" collapsed="false">
      <c r="A22" s="17" t="s">
        <v>137</v>
      </c>
      <c r="B22" s="7" t="n">
        <f aca="false">Допущения!$B$27</f>
        <v>1908</v>
      </c>
      <c r="C22" s="7" t="n">
        <f aca="false">Допущения!$B$27</f>
        <v>1908</v>
      </c>
      <c r="D22" s="7" t="n">
        <f aca="false">Допущения!$B$27</f>
        <v>1908</v>
      </c>
      <c r="E22" s="7" t="n">
        <f aca="false">Допущения!$B$27</f>
        <v>1908</v>
      </c>
      <c r="F22" s="7" t="n">
        <f aca="false">Допущения!$B$27</f>
        <v>1908</v>
      </c>
      <c r="G22" s="7" t="n">
        <f aca="false">Допущения!$B$27</f>
        <v>1908</v>
      </c>
      <c r="H22" s="7" t="n">
        <f aca="false">Допущения!$B$27</f>
        <v>1908</v>
      </c>
      <c r="I22" s="7" t="n">
        <f aca="false">Допущения!$B$27</f>
        <v>1908</v>
      </c>
      <c r="J22" s="7" t="n">
        <f aca="false">Допущения!$B$27</f>
        <v>1908</v>
      </c>
      <c r="K22" s="7" t="n">
        <f aca="false">Допущения!$B$27</f>
        <v>1908</v>
      </c>
      <c r="L22" s="7" t="n">
        <f aca="false">Допущения!$B$27</f>
        <v>1908</v>
      </c>
      <c r="M22" s="7" t="n">
        <f aca="false">Допущения!$B$27</f>
        <v>1908</v>
      </c>
      <c r="N22" s="7" t="n">
        <f aca="false">Допущения!$B$27</f>
        <v>1908</v>
      </c>
      <c r="O22" s="7" t="n">
        <f aca="false">Допущения!$B$27</f>
        <v>1908</v>
      </c>
      <c r="P22" s="7" t="n">
        <f aca="false">Допущения!$B$27</f>
        <v>1908</v>
      </c>
      <c r="Q22" s="7" t="n">
        <f aca="false">Допущения!$B$27</f>
        <v>1908</v>
      </c>
      <c r="R22" s="7" t="n">
        <f aca="false">Допущения!$B$27</f>
        <v>1908</v>
      </c>
      <c r="S22" s="7" t="n">
        <f aca="false">Допущения!$B$27</f>
        <v>1908</v>
      </c>
      <c r="T22" s="7" t="n">
        <f aca="false">Допущения!$B$27</f>
        <v>1908</v>
      </c>
      <c r="U22" s="7" t="n">
        <f aca="false">Допущения!$B$27</f>
        <v>1908</v>
      </c>
      <c r="V22" s="7" t="n">
        <f aca="false">Допущения!$B$27</f>
        <v>1908</v>
      </c>
      <c r="W22" s="7" t="n">
        <f aca="false">Допущения!$B$27</f>
        <v>1908</v>
      </c>
      <c r="X22" s="7" t="n">
        <f aca="false">Допущения!$B$27</f>
        <v>1908</v>
      </c>
      <c r="Y22" s="7" t="n">
        <f aca="false">Допущения!$B$27</f>
        <v>1908</v>
      </c>
    </row>
    <row r="23" customFormat="false" ht="15" hidden="false" customHeight="false" outlineLevel="0" collapsed="false">
      <c r="A23" s="17" t="s">
        <v>240</v>
      </c>
      <c r="B23" s="7" t="n">
        <f aca="false">Допущения!$B$33</f>
        <v>10000</v>
      </c>
      <c r="C23" s="7" t="n">
        <f aca="false">Допущения!$B$33</f>
        <v>10000</v>
      </c>
      <c r="D23" s="7" t="n">
        <f aca="false">Допущения!$B$33</f>
        <v>10000</v>
      </c>
      <c r="E23" s="7" t="n">
        <f aca="false">Допущения!$B$33</f>
        <v>10000</v>
      </c>
      <c r="F23" s="7" t="n">
        <f aca="false">Допущения!$B$33</f>
        <v>10000</v>
      </c>
      <c r="G23" s="7" t="n">
        <f aca="false">Допущения!$B$33</f>
        <v>10000</v>
      </c>
      <c r="H23" s="7" t="n">
        <f aca="false">Допущения!$B$33</f>
        <v>10000</v>
      </c>
      <c r="I23" s="7" t="n">
        <f aca="false">Допущения!$B$33</f>
        <v>10000</v>
      </c>
      <c r="J23" s="7" t="n">
        <f aca="false">Допущения!$B$33</f>
        <v>10000</v>
      </c>
      <c r="K23" s="7" t="n">
        <f aca="false">Допущения!$B$33</f>
        <v>10000</v>
      </c>
      <c r="L23" s="7" t="n">
        <f aca="false">Допущения!$B$33</f>
        <v>10000</v>
      </c>
      <c r="M23" s="7" t="n">
        <f aca="false">Допущения!$B$33</f>
        <v>10000</v>
      </c>
      <c r="N23" s="7" t="n">
        <f aca="false">Допущения!$B$33</f>
        <v>10000</v>
      </c>
      <c r="O23" s="7" t="n">
        <f aca="false">Допущения!$B$33</f>
        <v>10000</v>
      </c>
      <c r="P23" s="7" t="n">
        <f aca="false">Допущения!$B$33</f>
        <v>10000</v>
      </c>
      <c r="Q23" s="7" t="n">
        <f aca="false">Допущения!$B$33</f>
        <v>10000</v>
      </c>
      <c r="R23" s="7" t="n">
        <f aca="false">Допущения!$B$33</f>
        <v>10000</v>
      </c>
      <c r="S23" s="7" t="n">
        <f aca="false">Допущения!$B$33</f>
        <v>10000</v>
      </c>
      <c r="T23" s="7" t="n">
        <f aca="false">Допущения!$B$33</f>
        <v>10000</v>
      </c>
      <c r="U23" s="7" t="n">
        <f aca="false">Допущения!$B$33</f>
        <v>10000</v>
      </c>
      <c r="V23" s="7" t="n">
        <f aca="false">Допущения!$B$33</f>
        <v>10000</v>
      </c>
      <c r="W23" s="7" t="n">
        <f aca="false">Допущения!$B$33</f>
        <v>10000</v>
      </c>
      <c r="X23" s="7" t="n">
        <f aca="false">Допущения!$B$33</f>
        <v>10000</v>
      </c>
      <c r="Y23" s="7" t="n">
        <f aca="false">Допущения!$B$33</f>
        <v>10000</v>
      </c>
    </row>
    <row r="24" customFormat="false" ht="15" hidden="false" customHeight="false" outlineLevel="0" collapsed="false">
      <c r="A24" s="17" t="s">
        <v>150</v>
      </c>
      <c r="B24" s="7" t="n">
        <f aca="false">Допущения!$B$34</f>
        <v>30000</v>
      </c>
      <c r="C24" s="7" t="n">
        <f aca="false">Допущения!$B$34</f>
        <v>30000</v>
      </c>
      <c r="D24" s="7" t="n">
        <f aca="false">Допущения!$B$34</f>
        <v>30000</v>
      </c>
      <c r="E24" s="7" t="n">
        <f aca="false">Допущения!$B$34</f>
        <v>30000</v>
      </c>
      <c r="F24" s="7" t="n">
        <f aca="false">Допущения!$B$34</f>
        <v>30000</v>
      </c>
      <c r="G24" s="7" t="n">
        <f aca="false">Допущения!$B$34</f>
        <v>30000</v>
      </c>
      <c r="H24" s="7" t="n">
        <f aca="false">Допущения!$B$34</f>
        <v>30000</v>
      </c>
      <c r="I24" s="7" t="n">
        <f aca="false">Допущения!$B$34</f>
        <v>30000</v>
      </c>
      <c r="J24" s="7" t="n">
        <f aca="false">Допущения!$B$34</f>
        <v>30000</v>
      </c>
      <c r="K24" s="7" t="n">
        <f aca="false">Допущения!$B$34</f>
        <v>30000</v>
      </c>
      <c r="L24" s="7" t="n">
        <f aca="false">Допущения!$B$34</f>
        <v>30000</v>
      </c>
      <c r="M24" s="7" t="n">
        <f aca="false">Допущения!$B$34</f>
        <v>30000</v>
      </c>
      <c r="N24" s="7" t="n">
        <f aca="false">Допущения!$B$34</f>
        <v>30000</v>
      </c>
      <c r="O24" s="7" t="n">
        <f aca="false">Допущения!$B$34</f>
        <v>30000</v>
      </c>
      <c r="P24" s="7" t="n">
        <f aca="false">Допущения!$B$34</f>
        <v>30000</v>
      </c>
      <c r="Q24" s="7" t="n">
        <f aca="false">Допущения!$B$34</f>
        <v>30000</v>
      </c>
      <c r="R24" s="7" t="n">
        <f aca="false">Допущения!$B$34</f>
        <v>30000</v>
      </c>
      <c r="S24" s="7" t="n">
        <f aca="false">Допущения!$B$34</f>
        <v>30000</v>
      </c>
      <c r="T24" s="7" t="n">
        <f aca="false">Допущения!$B$34</f>
        <v>30000</v>
      </c>
      <c r="U24" s="7" t="n">
        <f aca="false">Допущения!$B$34</f>
        <v>30000</v>
      </c>
      <c r="V24" s="7" t="n">
        <f aca="false">Допущения!$B$34</f>
        <v>30000</v>
      </c>
      <c r="W24" s="7" t="n">
        <f aca="false">Допущения!$B$34</f>
        <v>30000</v>
      </c>
      <c r="X24" s="7" t="n">
        <f aca="false">Допущения!$B$34</f>
        <v>30000</v>
      </c>
      <c r="Y24" s="7" t="n">
        <f aca="false">Допущения!$B$34</f>
        <v>30000</v>
      </c>
    </row>
    <row r="25" customFormat="false" ht="15" hidden="false" customHeight="false" outlineLevel="0" collapsed="false">
      <c r="A25" s="17" t="s">
        <v>241</v>
      </c>
      <c r="B25" s="7" t="n">
        <f aca="false">Допущения!$B$35</f>
        <v>8000</v>
      </c>
      <c r="C25" s="7" t="n">
        <f aca="false">Допущения!$B$35</f>
        <v>8000</v>
      </c>
      <c r="D25" s="7" t="n">
        <f aca="false">Допущения!$B$35</f>
        <v>8000</v>
      </c>
      <c r="E25" s="7" t="n">
        <f aca="false">Допущения!$B$35</f>
        <v>8000</v>
      </c>
      <c r="F25" s="7" t="n">
        <f aca="false">Допущения!$B$35</f>
        <v>8000</v>
      </c>
      <c r="G25" s="7" t="n">
        <f aca="false">Допущения!$B$35</f>
        <v>8000</v>
      </c>
      <c r="H25" s="7" t="n">
        <f aca="false">Допущения!$B$35</f>
        <v>8000</v>
      </c>
      <c r="I25" s="7" t="n">
        <f aca="false">Допущения!$B$35</f>
        <v>8000</v>
      </c>
      <c r="J25" s="7" t="n">
        <f aca="false">Допущения!$B$35</f>
        <v>8000</v>
      </c>
      <c r="K25" s="7" t="n">
        <f aca="false">Допущения!$B$35</f>
        <v>8000</v>
      </c>
      <c r="L25" s="7" t="n">
        <f aca="false">Допущения!$B$35</f>
        <v>8000</v>
      </c>
      <c r="M25" s="7" t="n">
        <f aca="false">Допущения!$B$35</f>
        <v>8000</v>
      </c>
      <c r="N25" s="7" t="n">
        <f aca="false">Допущения!$B$35</f>
        <v>8000</v>
      </c>
      <c r="O25" s="7" t="n">
        <f aca="false">Допущения!$B$35</f>
        <v>8000</v>
      </c>
      <c r="P25" s="7" t="n">
        <f aca="false">Допущения!$B$35</f>
        <v>8000</v>
      </c>
      <c r="Q25" s="7" t="n">
        <f aca="false">Допущения!$B$35</f>
        <v>8000</v>
      </c>
      <c r="R25" s="7" t="n">
        <f aca="false">Допущения!$B$35</f>
        <v>8000</v>
      </c>
      <c r="S25" s="7" t="n">
        <f aca="false">Допущения!$B$35</f>
        <v>8000</v>
      </c>
      <c r="T25" s="7" t="n">
        <f aca="false">Допущения!$B$35</f>
        <v>8000</v>
      </c>
      <c r="U25" s="7" t="n">
        <f aca="false">Допущения!$B$35</f>
        <v>8000</v>
      </c>
      <c r="V25" s="7" t="n">
        <f aca="false">Допущения!$B$35</f>
        <v>8000</v>
      </c>
      <c r="W25" s="7" t="n">
        <f aca="false">Допущения!$B$35</f>
        <v>8000</v>
      </c>
      <c r="X25" s="7" t="n">
        <f aca="false">Допущения!$B$35</f>
        <v>8000</v>
      </c>
      <c r="Y25" s="7" t="n">
        <f aca="false">Допущения!$B$35</f>
        <v>8000</v>
      </c>
    </row>
    <row r="26" customFormat="false" ht="15" hidden="false" customHeight="false" outlineLevel="0" collapsed="false">
      <c r="A26" s="17" t="s">
        <v>180</v>
      </c>
      <c r="B26" s="7" t="n">
        <f aca="false">B13*Допущения!$B$50</f>
        <v>0</v>
      </c>
      <c r="C26" s="7" t="n">
        <f aca="false">C13*Допущения!$B$50</f>
        <v>0</v>
      </c>
      <c r="D26" s="7" t="n">
        <f aca="false">D13*Допущения!$B$50</f>
        <v>163.53</v>
      </c>
      <c r="E26" s="7" t="n">
        <f aca="false">E13*Допущения!$B$50</f>
        <v>300.615095625</v>
      </c>
      <c r="F26" s="7" t="n">
        <f aca="false">F13*Допущения!$B$50</f>
        <v>424.053259159167</v>
      </c>
      <c r="G26" s="7" t="n">
        <f aca="false">G13*Допущения!$B$50</f>
        <v>535.530799669188</v>
      </c>
      <c r="H26" s="7" t="n">
        <f aca="false">H13*Допущения!$B$50</f>
        <v>670.883286672144</v>
      </c>
      <c r="I26" s="7" t="n">
        <f aca="false">I13*Допущения!$B$50</f>
        <v>785.480356993067</v>
      </c>
      <c r="J26" s="7" t="n">
        <f aca="false">J13*Допущения!$B$50</f>
        <v>889.797985836079</v>
      </c>
      <c r="K26" s="7" t="n">
        <f aca="false">K13*Допущения!$B$50</f>
        <v>1024.77880787237</v>
      </c>
      <c r="L26" s="7" t="n">
        <f aca="false">L13*Допущения!$B$50</f>
        <v>1134.90942970341</v>
      </c>
      <c r="M26" s="7" t="n">
        <f aca="false">M13*Допущения!$B$50</f>
        <v>1235.91585083066</v>
      </c>
      <c r="N26" s="7" t="n">
        <f aca="false">N13*Допущения!$B$50</f>
        <v>1373.91771843679</v>
      </c>
      <c r="O26" s="7" t="n">
        <f aca="false">O13*Допущения!$B$50</f>
        <v>1482.57838569803</v>
      </c>
      <c r="P26" s="7" t="n">
        <f aca="false">P13*Допущения!$B$50</f>
        <v>1631.51140789317</v>
      </c>
      <c r="Q26" s="7" t="n">
        <f aca="false">Q13*Допущения!$B$50</f>
        <v>1797.63892156386</v>
      </c>
      <c r="R26" s="7" t="n">
        <f aca="false">R13*Допущения!$B$50</f>
        <v>1927.63967816526</v>
      </c>
      <c r="S26" s="7" t="n">
        <f aca="false">S13*Допущения!$B$50</f>
        <v>2102.02959994671</v>
      </c>
      <c r="T26" s="7" t="n">
        <f aca="false">T13*Допущения!$B$50</f>
        <v>2292.49744286755</v>
      </c>
      <c r="U26" s="7" t="n">
        <f aca="false">U13*Допущения!$B$50</f>
        <v>2498.03394093509</v>
      </c>
      <c r="V26" s="7" t="n">
        <f aca="false">V13*Допущения!$B$50</f>
        <v>2717.75778780331</v>
      </c>
      <c r="W26" s="7" t="n">
        <f aca="false">W13*Допущения!$B$50</f>
        <v>2950.90016964972</v>
      </c>
      <c r="X26" s="7" t="n">
        <f aca="false">X13*Допущения!$B$50</f>
        <v>3196.79129219529</v>
      </c>
      <c r="Y26" s="7" t="n">
        <f aca="false">Y13*Допущения!$B$50</f>
        <v>3454.84863716108</v>
      </c>
    </row>
    <row r="27" customFormat="false" ht="15" hidden="false" customHeight="false" outlineLevel="0" collapsed="false">
      <c r="A27" s="17" t="s">
        <v>242</v>
      </c>
      <c r="B27" s="7" t="n">
        <f aca="false">B12*Допущения!$B$13</f>
        <v>0</v>
      </c>
      <c r="C27" s="7" t="n">
        <f aca="false">C12*Допущения!$B$13</f>
        <v>0</v>
      </c>
      <c r="D27" s="7" t="n">
        <f aca="false">D12*Допущения!$B$13</f>
        <v>94.5366666666667</v>
      </c>
      <c r="E27" s="7" t="n">
        <f aca="false">E12*Допущения!$B$13</f>
        <v>178.68506375</v>
      </c>
      <c r="F27" s="7" t="n">
        <f aca="false">F12*Допущения!$B$13</f>
        <v>253.735506106111</v>
      </c>
      <c r="G27" s="7" t="n">
        <f aca="false">G12*Допущения!$B$13</f>
        <v>320.812199779459</v>
      </c>
      <c r="H27" s="7" t="n">
        <f aca="false">H12*Допущения!$B$13</f>
        <v>396.563857781429</v>
      </c>
      <c r="I27" s="7" t="n">
        <f aca="false">I12*Допущения!$B$13</f>
        <v>464.513293550934</v>
      </c>
      <c r="J27" s="7" t="n">
        <f aca="false">J12*Допущения!$B$13</f>
        <v>525.609768335164</v>
      </c>
      <c r="K27" s="7" t="n">
        <f aca="false">K12*Допущения!$B$13</f>
        <v>596.285871914916</v>
      </c>
      <c r="L27" s="7" t="n">
        <f aca="false">L12*Допущения!$B$13</f>
        <v>660.050730913383</v>
      </c>
      <c r="M27" s="7" t="n">
        <f aca="false">M12*Допущения!$B$13</f>
        <v>717.732789442665</v>
      </c>
      <c r="N27" s="7" t="n">
        <f aca="false">N12*Допущения!$B$13</f>
        <v>785.59514562453</v>
      </c>
      <c r="O27" s="7" t="n">
        <f aca="false">O12*Допущения!$B$13</f>
        <v>847.173090465355</v>
      </c>
      <c r="P27" s="7" t="n">
        <f aca="false">P12*Допущения!$B$13</f>
        <v>918.702049706558</v>
      </c>
      <c r="Q27" s="7" t="n">
        <f aca="false">Q12*Допущения!$B$13</f>
        <v>999.280114375906</v>
      </c>
      <c r="R27" s="7" t="n">
        <f aca="false">R12*Допущения!$B$13</f>
        <v>1072.67089655462</v>
      </c>
      <c r="S27" s="7" t="n">
        <f aca="false">S12*Допущения!$B$13</f>
        <v>1155.13639996447</v>
      </c>
      <c r="T27" s="7" t="n">
        <f aca="false">T12*Допущения!$B$13</f>
        <v>1245.90662857837</v>
      </c>
      <c r="U27" s="7" t="n">
        <f aca="false">U12*Допущения!$B$13</f>
        <v>1344.30873840117</v>
      </c>
      <c r="V27" s="7" t="n">
        <f aca="false">V12*Допущения!$B$13</f>
        <v>1449.75519186887</v>
      </c>
      <c r="W27" s="7" t="n">
        <f aca="false">W12*Допущения!$B$13</f>
        <v>1561.73344643314</v>
      </c>
      <c r="X27" s="7" t="n">
        <f aca="false">X12*Допущения!$B$13</f>
        <v>1679.79697257464</v>
      </c>
      <c r="Y27" s="7" t="n">
        <f aca="false">Y12*Допущения!$B$13</f>
        <v>1803.55742477406</v>
      </c>
      <c r="Z27" s="8" t="s">
        <v>243</v>
      </c>
    </row>
    <row r="28" customFormat="false" ht="15" hidden="false" customHeight="false" outlineLevel="0" collapsed="false">
      <c r="A28" s="17" t="s">
        <v>244</v>
      </c>
      <c r="B28" s="7" t="n">
        <f aca="false">Допущения!$B$37</f>
        <v>0</v>
      </c>
      <c r="C28" s="7" t="n">
        <f aca="false">Допущения!$B$37</f>
        <v>0</v>
      </c>
      <c r="D28" s="7" t="n">
        <f aca="false">Допущения!$B$37</f>
        <v>0</v>
      </c>
      <c r="E28" s="7" t="n">
        <f aca="false">Допущения!$B$37</f>
        <v>0</v>
      </c>
      <c r="F28" s="7" t="n">
        <f aca="false">Допущения!$B$37</f>
        <v>0</v>
      </c>
      <c r="G28" s="7" t="n">
        <f aca="false">Допущения!$B$37</f>
        <v>0</v>
      </c>
      <c r="H28" s="7" t="n">
        <f aca="false">Допущения!$B$37</f>
        <v>0</v>
      </c>
      <c r="I28" s="7" t="n">
        <f aca="false">Допущения!$B$37</f>
        <v>0</v>
      </c>
      <c r="J28" s="7" t="n">
        <f aca="false">Допущения!$B$37</f>
        <v>0</v>
      </c>
      <c r="K28" s="7" t="n">
        <f aca="false">Допущения!$B$37</f>
        <v>0</v>
      </c>
      <c r="L28" s="7" t="n">
        <f aca="false">Допущения!$B$37</f>
        <v>0</v>
      </c>
      <c r="M28" s="7" t="n">
        <f aca="false">Допущения!$B$37</f>
        <v>0</v>
      </c>
      <c r="N28" s="7" t="n">
        <f aca="false">Допущения!$B$37</f>
        <v>0</v>
      </c>
      <c r="O28" s="7" t="n">
        <f aca="false">Допущения!$B$37</f>
        <v>0</v>
      </c>
      <c r="P28" s="7" t="n">
        <f aca="false">Допущения!$B$37</f>
        <v>0</v>
      </c>
      <c r="Q28" s="7" t="n">
        <f aca="false">Допущения!$B$37</f>
        <v>0</v>
      </c>
      <c r="R28" s="7" t="n">
        <f aca="false">Допущения!$B$37</f>
        <v>0</v>
      </c>
      <c r="S28" s="7" t="n">
        <f aca="false">Допущения!$B$37</f>
        <v>0</v>
      </c>
      <c r="T28" s="7" t="n">
        <f aca="false">Допущения!$B$37</f>
        <v>0</v>
      </c>
      <c r="U28" s="7" t="n">
        <f aca="false">Допущения!$B$37</f>
        <v>0</v>
      </c>
      <c r="V28" s="7" t="n">
        <f aca="false">Допущения!$B$37</f>
        <v>0</v>
      </c>
      <c r="W28" s="7" t="n">
        <f aca="false">Допущения!$B$37</f>
        <v>0</v>
      </c>
      <c r="X28" s="7" t="n">
        <f aca="false">Допущения!$B$37</f>
        <v>0</v>
      </c>
      <c r="Y28" s="7" t="n">
        <f aca="false">Допущения!$B$37</f>
        <v>0</v>
      </c>
    </row>
    <row r="29" customFormat="false" ht="15" hidden="false" customHeight="false" outlineLevel="0" collapsed="false">
      <c r="A29" s="17" t="s">
        <v>245</v>
      </c>
      <c r="B29" s="7" t="n">
        <f aca="false">Допущения!$B$38</f>
        <v>0</v>
      </c>
      <c r="C29" s="7" t="n">
        <f aca="false">Допущения!$B$38</f>
        <v>0</v>
      </c>
      <c r="D29" s="7" t="n">
        <f aca="false">Допущения!$B$38</f>
        <v>0</v>
      </c>
      <c r="E29" s="7" t="n">
        <f aca="false">Допущения!$B$38</f>
        <v>0</v>
      </c>
      <c r="F29" s="7" t="n">
        <f aca="false">Допущения!$B$38</f>
        <v>0</v>
      </c>
      <c r="G29" s="7" t="n">
        <f aca="false">Допущения!$B$38</f>
        <v>0</v>
      </c>
      <c r="H29" s="7" t="n">
        <f aca="false">Допущения!$B$38</f>
        <v>0</v>
      </c>
      <c r="I29" s="7" t="n">
        <f aca="false">Допущения!$B$38</f>
        <v>0</v>
      </c>
      <c r="J29" s="7" t="n">
        <f aca="false">Допущения!$B$38</f>
        <v>0</v>
      </c>
      <c r="K29" s="7" t="n">
        <f aca="false">Допущения!$B$38</f>
        <v>0</v>
      </c>
      <c r="L29" s="7" t="n">
        <f aca="false">Допущения!$B$38</f>
        <v>0</v>
      </c>
      <c r="M29" s="7" t="n">
        <f aca="false">Допущения!$B$38</f>
        <v>0</v>
      </c>
      <c r="N29" s="7" t="n">
        <f aca="false">Допущения!$B$38</f>
        <v>0</v>
      </c>
      <c r="O29" s="7" t="n">
        <f aca="false">Допущения!$B$38</f>
        <v>0</v>
      </c>
      <c r="P29" s="7" t="n">
        <f aca="false">Допущения!$B$38</f>
        <v>0</v>
      </c>
      <c r="Q29" s="7" t="n">
        <f aca="false">Допущения!$B$38</f>
        <v>0</v>
      </c>
      <c r="R29" s="7" t="n">
        <f aca="false">Допущения!$B$38</f>
        <v>0</v>
      </c>
      <c r="S29" s="7" t="n">
        <f aca="false">Допущения!$B$38</f>
        <v>0</v>
      </c>
      <c r="T29" s="7" t="n">
        <f aca="false">Допущения!$B$38</f>
        <v>0</v>
      </c>
      <c r="U29" s="7" t="n">
        <f aca="false">Допущения!$B$38</f>
        <v>0</v>
      </c>
      <c r="V29" s="7" t="n">
        <f aca="false">Допущения!$B$38</f>
        <v>0</v>
      </c>
      <c r="W29" s="7" t="n">
        <f aca="false">Допущения!$B$38</f>
        <v>0</v>
      </c>
      <c r="X29" s="7" t="n">
        <f aca="false">Допущения!$B$38</f>
        <v>0</v>
      </c>
      <c r="Y29" s="7" t="n">
        <f aca="false">Допущения!$B$38</f>
        <v>0</v>
      </c>
    </row>
    <row r="30" customFormat="false" ht="32.8" hidden="false" customHeight="false" outlineLevel="0" collapsed="false">
      <c r="A30" s="17" t="s">
        <v>246</v>
      </c>
      <c r="B30" s="7" t="n">
        <f aca="false">IF(1&lt;=Допущения!$B$39,0,IF(1&lt;=Допущения!$B$41,Допущения!$B$40,Допущения!$B$42))</f>
        <v>0</v>
      </c>
      <c r="C30" s="7" t="n">
        <f aca="false">IF(2&lt;=Допущения!$B$39,0,IF(2&lt;=Допущения!$B$41,Допущения!$B$40,Допущения!$B$42))</f>
        <v>0</v>
      </c>
      <c r="D30" s="7" t="n">
        <f aca="false">IF(3&lt;=Допущения!$B$39,0,IF(3&lt;=Допущения!$B$41,Допущения!$B$40,Допущения!$B$42))</f>
        <v>0</v>
      </c>
      <c r="E30" s="7" t="n">
        <f aca="false">IF(4&lt;=Допущения!$B$39,0,IF(4&lt;=Допущения!$B$41,Допущения!$B$40,Допущения!$B$42))</f>
        <v>50000</v>
      </c>
      <c r="F30" s="7" t="n">
        <f aca="false">IF(5&lt;=Допущения!$B$39,0,IF(5&lt;=Допущения!$B$41,Допущения!$B$40,Допущения!$B$42))</f>
        <v>50000</v>
      </c>
      <c r="G30" s="7" t="n">
        <f aca="false">IF(6&lt;=Допущения!$B$39,0,IF(6&lt;=Допущения!$B$41,Допущения!$B$40,Допущения!$B$42))</f>
        <v>50000</v>
      </c>
      <c r="H30" s="7" t="n">
        <f aca="false">IF(7&lt;=Допущения!$B$39,0,IF(7&lt;=Допущения!$B$41,Допущения!$B$40,Допущения!$B$42))</f>
        <v>50000</v>
      </c>
      <c r="I30" s="7" t="n">
        <f aca="false">IF(8&lt;=Допущения!$B$39,0,IF(8&lt;=Допущения!$B$41,Допущения!$B$40,Допущения!$B$42))</f>
        <v>50000</v>
      </c>
      <c r="J30" s="7" t="n">
        <f aca="false">IF(9&lt;=Допущения!$B$39,0,IF(9&lt;=Допущения!$B$41,Допущения!$B$40,Допущения!$B$42))</f>
        <v>50000</v>
      </c>
      <c r="K30" s="7" t="n">
        <f aca="false">IF(10&lt;=Допущения!$B$39,0,IF(10&lt;=Допущения!$B$41,Допущения!$B$40,Допущения!$B$42))</f>
        <v>50000</v>
      </c>
      <c r="L30" s="7" t="n">
        <f aca="false">IF(11&lt;=Допущения!$B$39,0,IF(11&lt;=Допущения!$B$41,Допущения!$B$40,Допущения!$B$42))</f>
        <v>50000</v>
      </c>
      <c r="M30" s="7" t="n">
        <f aca="false">IF(12&lt;=Допущения!$B$39,0,IF(12&lt;=Допущения!$B$41,Допущения!$B$40,Допущения!$B$42))</f>
        <v>50000</v>
      </c>
      <c r="N30" s="7" t="n">
        <f aca="false">IF(13&lt;=Допущения!$B$39,0,IF(13&lt;=Допущения!$B$41,Допущения!$B$40,Допущения!$B$42))</f>
        <v>100000</v>
      </c>
      <c r="O30" s="7" t="n">
        <f aca="false">IF(14&lt;=Допущения!$B$39,0,IF(14&lt;=Допущения!$B$41,Допущения!$B$40,Допущения!$B$42))</f>
        <v>100000</v>
      </c>
      <c r="P30" s="7" t="n">
        <f aca="false">IF(15&lt;=Допущения!$B$39,0,IF(15&lt;=Допущения!$B$41,Допущения!$B$40,Допущения!$B$42))</f>
        <v>100000</v>
      </c>
      <c r="Q30" s="7" t="n">
        <f aca="false">IF(16&lt;=Допущения!$B$39,0,IF(16&lt;=Допущения!$B$41,Допущения!$B$40,Допущения!$B$42))</f>
        <v>100000</v>
      </c>
      <c r="R30" s="7" t="n">
        <f aca="false">IF(17&lt;=Допущения!$B$39,0,IF(17&lt;=Допущения!$B$41,Допущения!$B$40,Допущения!$B$42))</f>
        <v>100000</v>
      </c>
      <c r="S30" s="7" t="n">
        <f aca="false">IF(18&lt;=Допущения!$B$39,0,IF(18&lt;=Допущения!$B$41,Допущения!$B$40,Допущения!$B$42))</f>
        <v>100000</v>
      </c>
      <c r="T30" s="7" t="n">
        <f aca="false">IF(19&lt;=Допущения!$B$39,0,IF(19&lt;=Допущения!$B$41,Допущения!$B$40,Допущения!$B$42))</f>
        <v>100000</v>
      </c>
      <c r="U30" s="7" t="n">
        <f aca="false">IF(20&lt;=Допущения!$B$39,0,IF(20&lt;=Допущения!$B$41,Допущения!$B$40,Допущения!$B$42))</f>
        <v>100000</v>
      </c>
      <c r="V30" s="7" t="n">
        <f aca="false">IF(21&lt;=Допущения!$B$39,0,IF(21&lt;=Допущения!$B$41,Допущения!$B$40,Допущения!$B$42))</f>
        <v>100000</v>
      </c>
      <c r="W30" s="7" t="n">
        <f aca="false">IF(22&lt;=Допущения!$B$39,0,IF(22&lt;=Допущения!$B$41,Допущения!$B$40,Допущения!$B$42))</f>
        <v>100000</v>
      </c>
      <c r="X30" s="7" t="n">
        <f aca="false">IF(23&lt;=Допущения!$B$39,0,IF(23&lt;=Допущения!$B$41,Допущения!$B$40,Допущения!$B$42))</f>
        <v>100000</v>
      </c>
      <c r="Y30" s="7" t="n">
        <f aca="false">IF(24&lt;=Допущения!$B$39,0,IF(24&lt;=Допущения!$B$41,Допущения!$B$40,Допущения!$B$42))</f>
        <v>100000</v>
      </c>
      <c r="Z30" s="8" t="s">
        <v>247</v>
      </c>
    </row>
    <row r="31" customFormat="false" ht="32.8" hidden="false" customHeight="false" outlineLevel="0" collapsed="false">
      <c r="A31" s="29" t="s">
        <v>248</v>
      </c>
      <c r="B31" s="15" t="n">
        <f aca="false">MAX(Допущения!$B$37,Допущения!$B$48)*Допущения!$B$49</f>
        <v>8127.9</v>
      </c>
      <c r="C31" s="15" t="n">
        <f aca="false">MAX(Допущения!$B$37,Допущения!$B$48)*Допущения!$B$49</f>
        <v>8127.9</v>
      </c>
      <c r="D31" s="15" t="n">
        <f aca="false">MAX(Допущения!$B$37,Допущения!$B$48)*Допущения!$B$49</f>
        <v>8127.9</v>
      </c>
      <c r="E31" s="15" t="n">
        <f aca="false">MAX(Допущения!$B$37,Допущения!$B$48)*Допущения!$B$49</f>
        <v>8127.9</v>
      </c>
      <c r="F31" s="15" t="n">
        <f aca="false">MAX(Допущения!$B$37,Допущения!$B$48)*Допущения!$B$49</f>
        <v>8127.9</v>
      </c>
      <c r="G31" s="15" t="n">
        <f aca="false">MAX(Допущения!$B$37,Допущения!$B$48)*Допущения!$B$49</f>
        <v>8127.9</v>
      </c>
      <c r="H31" s="15" t="n">
        <f aca="false">MAX(Допущения!$B$37,Допущения!$B$48)*Допущения!$B$49</f>
        <v>8127.9</v>
      </c>
      <c r="I31" s="15" t="n">
        <f aca="false">MAX(Допущения!$B$37,Допущения!$B$48)*Допущения!$B$49</f>
        <v>8127.9</v>
      </c>
      <c r="J31" s="15" t="n">
        <f aca="false">MAX(Допущения!$B$37,Допущения!$B$48)*Допущения!$B$49</f>
        <v>8127.9</v>
      </c>
      <c r="K31" s="15" t="n">
        <f aca="false">MAX(Допущения!$B$37,Допущения!$B$48)*Допущения!$B$49</f>
        <v>8127.9</v>
      </c>
      <c r="L31" s="15" t="n">
        <f aca="false">MAX(Допущения!$B$37,Допущения!$B$48)*Допущения!$B$49</f>
        <v>8127.9</v>
      </c>
      <c r="M31" s="15" t="n">
        <f aca="false">MAX(Допущения!$B$37,Допущения!$B$48)*Допущения!$B$49</f>
        <v>8127.9</v>
      </c>
      <c r="N31" s="15" t="n">
        <f aca="false">MAX(Допущения!$B$37,Допущения!$B$48)*Допущения!$B$49</f>
        <v>8127.9</v>
      </c>
      <c r="O31" s="15" t="n">
        <f aca="false">MAX(Допущения!$B$37,Допущения!$B$48)*Допущения!$B$49</f>
        <v>8127.9</v>
      </c>
      <c r="P31" s="15" t="n">
        <f aca="false">MAX(Допущения!$B$37,Допущения!$B$48)*Допущения!$B$49</f>
        <v>8127.9</v>
      </c>
      <c r="Q31" s="15" t="n">
        <f aca="false">MAX(Допущения!$B$37,Допущения!$B$48)*Допущения!$B$49</f>
        <v>8127.9</v>
      </c>
      <c r="R31" s="15" t="n">
        <f aca="false">MAX(Допущения!$B$37,Допущения!$B$48)*Допущения!$B$49</f>
        <v>8127.9</v>
      </c>
      <c r="S31" s="15" t="n">
        <f aca="false">MAX(Допущения!$B$37,Допущения!$B$48)*Допущения!$B$49</f>
        <v>8127.9</v>
      </c>
      <c r="T31" s="15" t="n">
        <f aca="false">MAX(Допущения!$B$37,Допущения!$B$48)*Допущения!$B$49</f>
        <v>8127.9</v>
      </c>
      <c r="U31" s="15" t="n">
        <f aca="false">MAX(Допущения!$B$37,Допущения!$B$48)*Допущения!$B$49</f>
        <v>8127.9</v>
      </c>
      <c r="V31" s="15" t="n">
        <f aca="false">MAX(Допущения!$B$37,Допущения!$B$48)*Допущения!$B$49</f>
        <v>8127.9</v>
      </c>
      <c r="W31" s="15" t="n">
        <f aca="false">MAX(Допущения!$B$37,Допущения!$B$48)*Допущения!$B$49</f>
        <v>8127.9</v>
      </c>
      <c r="X31" s="15" t="n">
        <f aca="false">MAX(Допущения!$B$37,Допущения!$B$48)*Допущения!$B$49</f>
        <v>8127.9</v>
      </c>
      <c r="Y31" s="15" t="n">
        <f aca="false">MAX(Допущения!$B$37,Допущения!$B$48)*Допущения!$B$49</f>
        <v>8127.9</v>
      </c>
      <c r="Z31" s="8" t="s">
        <v>249</v>
      </c>
    </row>
    <row r="32" customFormat="false" ht="15" hidden="false" customHeight="false" outlineLevel="0" collapsed="false">
      <c r="A32" s="5" t="s">
        <v>250</v>
      </c>
      <c r="B32" s="14" t="n">
        <f aca="false">SUM(B15:B31)</f>
        <v>115835.9</v>
      </c>
      <c r="C32" s="14" t="n">
        <f aca="false">SUM(C15:C31)</f>
        <v>115835.9</v>
      </c>
      <c r="D32" s="14" t="n">
        <f aca="false">SUM(D15:D31)</f>
        <v>116633.966666667</v>
      </c>
      <c r="E32" s="14" t="n">
        <f aca="false">SUM(E15:E31)</f>
        <v>167337.285159375</v>
      </c>
      <c r="F32" s="14" t="n">
        <f aca="false">SUM(F15:F31)</f>
        <v>167967.092060265</v>
      </c>
      <c r="G32" s="14" t="n">
        <f aca="false">SUM(G15:G31)</f>
        <v>168532.433363767</v>
      </c>
      <c r="H32" s="14" t="n">
        <f aca="false">SUM(H15:H31)</f>
        <v>169181.237615701</v>
      </c>
      <c r="I32" s="14" t="n">
        <f aca="false">SUM(I15:I31)</f>
        <v>169757.832633811</v>
      </c>
      <c r="J32" s="14" t="n">
        <f aca="false">SUM(J15:J31)</f>
        <v>170278.92766849</v>
      </c>
      <c r="K32" s="14" t="n">
        <f aca="false">SUM(K15:K31)</f>
        <v>170896.524267824</v>
      </c>
      <c r="L32" s="14" t="n">
        <f aca="false">SUM(L15:L31)</f>
        <v>171443.597490193</v>
      </c>
      <c r="M32" s="14" t="n">
        <f aca="false">SUM(M15:M31)</f>
        <v>171941.329965003</v>
      </c>
      <c r="N32" s="14" t="n">
        <f aca="false">SUM(N15:N31)</f>
        <v>222546.167837643</v>
      </c>
      <c r="O32" s="14" t="n">
        <f aca="false">SUM(O15:O31)</f>
        <v>223080.053232753</v>
      </c>
      <c r="P32" s="14" t="n">
        <f aca="false">SUM(P15:P31)</f>
        <v>223722.99917684</v>
      </c>
      <c r="Q32" s="14" t="n">
        <f aca="false">SUM(Q15:Q31)</f>
        <v>224446.029504703</v>
      </c>
      <c r="R32" s="14" t="n">
        <f aca="false">SUM(R15:R31)</f>
        <v>225085.228312128</v>
      </c>
      <c r="S32" s="14" t="n">
        <f aca="false">SUM(S15:S31)</f>
        <v>225832.072312612</v>
      </c>
      <c r="T32" s="14" t="n">
        <f aca="false">SUM(T15:T31)</f>
        <v>226653.21329391</v>
      </c>
      <c r="U32" s="14" t="n">
        <f aca="false">SUM(U15:U31)</f>
        <v>227543.246222954</v>
      </c>
      <c r="V32" s="14" t="n">
        <f aca="false">SUM(V15:V31)</f>
        <v>228497.457865125</v>
      </c>
      <c r="W32" s="14" t="n">
        <f aca="false">SUM(W15:W31)</f>
        <v>229511.74392818</v>
      </c>
      <c r="X32" s="14" t="n">
        <f aca="false">SUM(X15:X31)</f>
        <v>230582.536850497</v>
      </c>
      <c r="Y32" s="14" t="n">
        <f aca="false">SUM(Y15:Y31)</f>
        <v>231706.742827582</v>
      </c>
    </row>
    <row r="33" customFormat="false" ht="15" hidden="false" customHeight="false" outlineLevel="0" collapsed="false">
      <c r="A33" s="3" t="s">
        <v>251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customFormat="false" ht="22.35" hidden="false" customHeight="false" outlineLevel="0" collapsed="false">
      <c r="A34" s="17" t="s">
        <v>252</v>
      </c>
      <c r="B34" s="7" t="n">
        <f aca="false">SUM($B$12:B12)</f>
        <v>0</v>
      </c>
      <c r="C34" s="7" t="n">
        <f aca="false">SUM($B$12:C12)</f>
        <v>0</v>
      </c>
      <c r="D34" s="7" t="n">
        <f aca="false">SUM($B$12:D12)</f>
        <v>4726.83333333333</v>
      </c>
      <c r="E34" s="7" t="n">
        <f aca="false">SUM($E$12:E12)</f>
        <v>8934.2531875</v>
      </c>
      <c r="F34" s="7" t="n">
        <f aca="false">SUM($E$12:F12)</f>
        <v>21621.0284928056</v>
      </c>
      <c r="G34" s="7" t="n">
        <f aca="false">SUM($E$12:G12)</f>
        <v>37661.6384817785</v>
      </c>
      <c r="H34" s="7" t="n">
        <f aca="false">SUM($E$12:H12)</f>
        <v>57489.83137085</v>
      </c>
      <c r="I34" s="7" t="n">
        <f aca="false">SUM($E$12:I12)</f>
        <v>80715.4960483966</v>
      </c>
      <c r="J34" s="7" t="n">
        <f aca="false">SUM($E$12:J12)</f>
        <v>106995.984465155</v>
      </c>
      <c r="K34" s="7" t="n">
        <f aca="false">SUM($E$12:K12)</f>
        <v>136810.278060901</v>
      </c>
      <c r="L34" s="7" t="n">
        <f aca="false">SUM($E$12:L12)</f>
        <v>169812.81460657</v>
      </c>
      <c r="M34" s="7" t="n">
        <f aca="false">SUM($E$12:M12)</f>
        <v>205699.454078703</v>
      </c>
      <c r="N34" s="7" t="n">
        <f aca="false">SUM($E$12:N12)</f>
        <v>244979.211359929</v>
      </c>
      <c r="O34" s="7" t="n">
        <f aca="false">SUM($E$12:O12)</f>
        <v>287337.865883197</v>
      </c>
      <c r="P34" s="7" t="n">
        <f aca="false">SUM($E$12:P12)</f>
        <v>333272.968368525</v>
      </c>
      <c r="Q34" s="7" t="n">
        <f aca="false">SUM($E$12:Q12)</f>
        <v>383236.97408732</v>
      </c>
      <c r="R34" s="7" t="n">
        <f aca="false">SUM($E$12:R12)</f>
        <v>436870.518915051</v>
      </c>
      <c r="S34" s="7" t="n">
        <f aca="false">SUM($E$12:S12)</f>
        <v>494627.338913275</v>
      </c>
      <c r="T34" s="7" t="n">
        <f aca="false">SUM($E$12:T12)</f>
        <v>556922.670342193</v>
      </c>
      <c r="U34" s="7" t="n">
        <f aca="false">SUM($E$12:U12)</f>
        <v>624138.107262252</v>
      </c>
      <c r="V34" s="7" t="n">
        <f aca="false">SUM($E$12:V12)</f>
        <v>696625.866855696</v>
      </c>
      <c r="W34" s="7" t="n">
        <f aca="false">SUM($E$12:W12)</f>
        <v>774712.539177353</v>
      </c>
      <c r="X34" s="7" t="n">
        <f aca="false">SUM($E$12:X12)</f>
        <v>858702.387806085</v>
      </c>
      <c r="Y34" s="7" t="n">
        <f aca="false">SUM($E$12:Y12)</f>
        <v>948880.259044787</v>
      </c>
      <c r="Z34" s="8" t="s">
        <v>253</v>
      </c>
    </row>
    <row r="35" customFormat="false" ht="15" hidden="false" customHeight="false" outlineLevel="0" collapsed="false">
      <c r="A35" s="17" t="s">
        <v>254</v>
      </c>
      <c r="B35" s="7" t="n">
        <f aca="false">IF(B34&gt;Допущения!$B$46,B12*Допущения!$B$47,0)</f>
        <v>0</v>
      </c>
      <c r="C35" s="7" t="n">
        <f aca="false">IF(C34&gt;Допущения!$B$46,C12*Допущения!$B$47,0)</f>
        <v>0</v>
      </c>
      <c r="D35" s="7" t="n">
        <f aca="false">IF(D34&gt;Допущения!$B$46,D12*Допущения!$B$47,0)</f>
        <v>0</v>
      </c>
      <c r="E35" s="7" t="n">
        <f aca="false">IF(E34&gt;Допущения!$B$46,E12*Допущения!$B$47,0)</f>
        <v>0</v>
      </c>
      <c r="F35" s="7" t="n">
        <f aca="false">IF(F34&gt;Допущения!$B$46,F12*Допущения!$B$47,0)</f>
        <v>0</v>
      </c>
      <c r="G35" s="7" t="n">
        <f aca="false">IF(G34&gt;Допущения!$B$46,G12*Допущения!$B$47,0)</f>
        <v>0</v>
      </c>
      <c r="H35" s="7" t="n">
        <f aca="false">IF(H34&gt;Допущения!$B$46,H12*Допущения!$B$47,0)</f>
        <v>0</v>
      </c>
      <c r="I35" s="7" t="n">
        <f aca="false">IF(I34&gt;Допущения!$B$46,I12*Допущения!$B$47,0)</f>
        <v>0</v>
      </c>
      <c r="J35" s="7" t="n">
        <f aca="false">IF(J34&gt;Допущения!$B$46,J12*Допущения!$B$47,0)</f>
        <v>0</v>
      </c>
      <c r="K35" s="7" t="n">
        <f aca="false">IF(K34&gt;Допущения!$B$46,K12*Допущения!$B$47,0)</f>
        <v>0</v>
      </c>
      <c r="L35" s="7" t="n">
        <f aca="false">IF(L34&gt;Допущения!$B$46,L12*Допущения!$B$47,0)</f>
        <v>0</v>
      </c>
      <c r="M35" s="7" t="n">
        <f aca="false">IF(M34&gt;Допущения!$B$46,M12*Допущения!$B$47,0)</f>
        <v>0</v>
      </c>
      <c r="N35" s="7" t="n">
        <f aca="false">IF(N34&gt;Допущения!$B$46,N12*Допущения!$B$47,0)</f>
        <v>0</v>
      </c>
      <c r="O35" s="7" t="n">
        <f aca="false">IF(O34&gt;Допущения!$B$46,O12*Допущения!$B$47,0)</f>
        <v>0</v>
      </c>
      <c r="P35" s="7" t="n">
        <f aca="false">IF(P34&gt;Допущения!$B$46,P12*Допущения!$B$47,0)</f>
        <v>0</v>
      </c>
      <c r="Q35" s="7" t="n">
        <f aca="false">IF(Q34&gt;Допущения!$B$46,Q12*Допущения!$B$47,0)</f>
        <v>0</v>
      </c>
      <c r="R35" s="7" t="n">
        <f aca="false">IF(R34&gt;Допущения!$B$46,R12*Допущения!$B$47,0)</f>
        <v>0</v>
      </c>
      <c r="S35" s="7" t="n">
        <f aca="false">IF(S34&gt;Допущения!$B$46,S12*Допущения!$B$47,0)</f>
        <v>0</v>
      </c>
      <c r="T35" s="7" t="n">
        <f aca="false">IF(T34&gt;Допущения!$B$46,T12*Допущения!$B$47,0)</f>
        <v>0</v>
      </c>
      <c r="U35" s="7" t="n">
        <f aca="false">IF(U34&gt;Допущения!$B$46,U12*Допущения!$B$47,0)</f>
        <v>0</v>
      </c>
      <c r="V35" s="7" t="n">
        <f aca="false">IF(V34&gt;Допущения!$B$46,V12*Допущения!$B$47,0)</f>
        <v>0</v>
      </c>
      <c r="W35" s="7" t="n">
        <f aca="false">IF(W34&gt;Допущения!$B$46,W12*Допущения!$B$47,0)</f>
        <v>0</v>
      </c>
      <c r="X35" s="7" t="n">
        <f aca="false">IF(X34&gt;Допущения!$B$46,X12*Допущения!$B$47,0)</f>
        <v>0</v>
      </c>
      <c r="Y35" s="7" t="n">
        <f aca="false">IF(Y34&gt;Допущения!$B$46,Y12*Допущения!$B$47,0)</f>
        <v>0</v>
      </c>
      <c r="Z35" s="8" t="s">
        <v>255</v>
      </c>
    </row>
    <row r="36" customFormat="false" ht="15" hidden="false" customHeight="false" outlineLevel="0" collapsed="false">
      <c r="A36" s="17" t="s">
        <v>256</v>
      </c>
      <c r="B36" s="7" t="n">
        <f aca="false">B12-B32-B35</f>
        <v>-115835.9</v>
      </c>
      <c r="C36" s="7" t="n">
        <f aca="false">C12-C32-C35</f>
        <v>-115835.9</v>
      </c>
      <c r="D36" s="7" t="n">
        <f aca="false">D12-D32-D35</f>
        <v>-111907.133333333</v>
      </c>
      <c r="E36" s="7" t="n">
        <f aca="false">E12-E32-E35</f>
        <v>-158403.031971875</v>
      </c>
      <c r="F36" s="7" t="n">
        <f aca="false">F12-F32-F35</f>
        <v>-155280.31675496</v>
      </c>
      <c r="G36" s="7" t="n">
        <f aca="false">G12-G32-G35</f>
        <v>-152491.823374794</v>
      </c>
      <c r="H36" s="7" t="n">
        <f aca="false">H12-H32-H35</f>
        <v>-149353.04472663</v>
      </c>
      <c r="I36" s="7" t="n">
        <f aca="false">I12-I32-I35</f>
        <v>-146532.167956265</v>
      </c>
      <c r="J36" s="7" t="n">
        <f aca="false">J12-J32-J35</f>
        <v>-143998.439251732</v>
      </c>
      <c r="K36" s="7" t="n">
        <f aca="false">K12-K32-K35</f>
        <v>-141082.230672078</v>
      </c>
      <c r="L36" s="7" t="n">
        <f aca="false">L12-L32-L35</f>
        <v>-138441.060944524</v>
      </c>
      <c r="M36" s="7" t="n">
        <f aca="false">M12-M32-M35</f>
        <v>-136054.69049287</v>
      </c>
      <c r="N36" s="7" t="n">
        <f aca="false">N12-N32-N35</f>
        <v>-183266.410556416</v>
      </c>
      <c r="O36" s="7" t="n">
        <f aca="false">O12-O32-O35</f>
        <v>-180721.398709485</v>
      </c>
      <c r="P36" s="7" t="n">
        <f aca="false">P12-P32-P35</f>
        <v>-177787.896691512</v>
      </c>
      <c r="Q36" s="7" t="n">
        <f aca="false">Q12-Q32-Q35</f>
        <v>-174482.023785908</v>
      </c>
      <c r="R36" s="7" t="n">
        <f aca="false">R12-R32-R35</f>
        <v>-171451.683484397</v>
      </c>
      <c r="S36" s="7" t="n">
        <f aca="false">S12-S32-S35</f>
        <v>-168075.252314389</v>
      </c>
      <c r="T36" s="7" t="n">
        <f aca="false">T12-T32-T35</f>
        <v>-164357.881864991</v>
      </c>
      <c r="U36" s="7" t="n">
        <f aca="false">U12-U32-U35</f>
        <v>-160327.809302895</v>
      </c>
      <c r="V36" s="7" t="n">
        <f aca="false">V12-V32-V35</f>
        <v>-156009.698271681</v>
      </c>
      <c r="W36" s="7" t="n">
        <f aca="false">W12-W32-W35</f>
        <v>-151425.071606523</v>
      </c>
      <c r="X36" s="7" t="n">
        <f aca="false">X12-X32-X35</f>
        <v>-146592.688221765</v>
      </c>
      <c r="Y36" s="7" t="n">
        <f aca="false">Y12-Y32-Y35</f>
        <v>-141528.871588879</v>
      </c>
    </row>
    <row r="37" customFormat="false" ht="22.35" hidden="false" customHeight="false" outlineLevel="0" collapsed="false">
      <c r="A37" s="17" t="s">
        <v>257</v>
      </c>
      <c r="B37" s="7" t="n">
        <f aca="false">MAX(B36*Допущения!$B$44,B12*Допущения!$B$45)</f>
        <v>0</v>
      </c>
      <c r="C37" s="7" t="n">
        <f aca="false">MAX(C36*Допущения!$B$44,C12*Допущения!$B$45)</f>
        <v>0</v>
      </c>
      <c r="D37" s="7" t="n">
        <f aca="false">MAX(D36*Допущения!$B$44,D12*Допущения!$B$45)</f>
        <v>47.2683333333333</v>
      </c>
      <c r="E37" s="7" t="n">
        <f aca="false">MAX(E36*Допущения!$B$44,E12*Допущения!$B$45)</f>
        <v>89.342531875</v>
      </c>
      <c r="F37" s="7" t="n">
        <f aca="false">MAX(F36*Допущения!$B$44,F12*Допущения!$B$45)</f>
        <v>126.867753053056</v>
      </c>
      <c r="G37" s="7" t="n">
        <f aca="false">MAX(G36*Допущения!$B$44,G12*Допущения!$B$45)</f>
        <v>160.406099889729</v>
      </c>
      <c r="H37" s="7" t="n">
        <f aca="false">MAX(H36*Допущения!$B$44,H12*Допущения!$B$45)</f>
        <v>198.281928890715</v>
      </c>
      <c r="I37" s="7" t="n">
        <f aca="false">MAX(I36*Допущения!$B$44,I12*Допущения!$B$45)</f>
        <v>232.256646775467</v>
      </c>
      <c r="J37" s="7" t="n">
        <f aca="false">MAX(J36*Допущения!$B$44,J12*Допущения!$B$45)</f>
        <v>262.804884167582</v>
      </c>
      <c r="K37" s="7" t="n">
        <f aca="false">MAX(K36*Допущения!$B$44,K12*Допущения!$B$45)</f>
        <v>298.142935957458</v>
      </c>
      <c r="L37" s="7" t="n">
        <f aca="false">MAX(L36*Допущения!$B$44,L12*Допущения!$B$45)</f>
        <v>330.025365456691</v>
      </c>
      <c r="M37" s="7" t="n">
        <f aca="false">MAX(M36*Допущения!$B$44,M12*Допущения!$B$45)</f>
        <v>358.866394721333</v>
      </c>
      <c r="N37" s="7" t="n">
        <f aca="false">MAX(N36*Допущения!$B$44,N12*Допущения!$B$45)</f>
        <v>392.797572812265</v>
      </c>
      <c r="O37" s="7" t="n">
        <f aca="false">MAX(O36*Допущения!$B$44,O12*Допущения!$B$45)</f>
        <v>423.586545232678</v>
      </c>
      <c r="P37" s="7" t="n">
        <f aca="false">MAX(P36*Допущения!$B$44,P12*Допущения!$B$45)</f>
        <v>459.351024853279</v>
      </c>
      <c r="Q37" s="7" t="n">
        <f aca="false">MAX(Q36*Допущения!$B$44,Q12*Допущения!$B$45)</f>
        <v>499.640057187953</v>
      </c>
      <c r="R37" s="7" t="n">
        <f aca="false">MAX(R36*Допущения!$B$44,R12*Допущения!$B$45)</f>
        <v>536.335448277308</v>
      </c>
      <c r="S37" s="7" t="n">
        <f aca="false">MAX(S36*Допущения!$B$44,S12*Допущения!$B$45)</f>
        <v>577.568199982237</v>
      </c>
      <c r="T37" s="7" t="n">
        <f aca="false">MAX(T36*Допущения!$B$44,T12*Допущения!$B$45)</f>
        <v>622.953314289184</v>
      </c>
      <c r="U37" s="7" t="n">
        <f aca="false">MAX(U36*Допущения!$B$44,U12*Допущения!$B$45)</f>
        <v>672.154369200587</v>
      </c>
      <c r="V37" s="7" t="n">
        <f aca="false">MAX(V36*Допущения!$B$44,V12*Допущения!$B$45)</f>
        <v>724.877595934436</v>
      </c>
      <c r="W37" s="7" t="n">
        <f aca="false">MAX(W36*Допущения!$B$44,W12*Допущения!$B$45)</f>
        <v>780.866723216572</v>
      </c>
      <c r="X37" s="7" t="n">
        <f aca="false">MAX(X36*Допущения!$B$44,X12*Допущения!$B$45)</f>
        <v>839.898486287319</v>
      </c>
      <c r="Y37" s="7" t="n">
        <f aca="false">MAX(Y36*Допущения!$B$44,Y12*Допущения!$B$45)</f>
        <v>901.778712387028</v>
      </c>
      <c r="Z37" s="8" t="s">
        <v>258</v>
      </c>
    </row>
    <row r="38" customFormat="false" ht="15" hidden="false" customHeight="false" outlineLevel="0" collapsed="false">
      <c r="A38" s="5" t="s">
        <v>259</v>
      </c>
      <c r="B38" s="14" t="n">
        <f aca="false">B35+B37</f>
        <v>0</v>
      </c>
      <c r="C38" s="14" t="n">
        <f aca="false">C35+C37</f>
        <v>0</v>
      </c>
      <c r="D38" s="14" t="n">
        <f aca="false">D35+D37</f>
        <v>47.2683333333333</v>
      </c>
      <c r="E38" s="14" t="n">
        <f aca="false">E35+E37</f>
        <v>89.342531875</v>
      </c>
      <c r="F38" s="14" t="n">
        <f aca="false">F35+F37</f>
        <v>126.867753053056</v>
      </c>
      <c r="G38" s="14" t="n">
        <f aca="false">G35+G37</f>
        <v>160.406099889729</v>
      </c>
      <c r="H38" s="14" t="n">
        <f aca="false">H35+H37</f>
        <v>198.281928890715</v>
      </c>
      <c r="I38" s="14" t="n">
        <f aca="false">I35+I37</f>
        <v>232.256646775467</v>
      </c>
      <c r="J38" s="14" t="n">
        <f aca="false">J35+J37</f>
        <v>262.804884167582</v>
      </c>
      <c r="K38" s="14" t="n">
        <f aca="false">K35+K37</f>
        <v>298.142935957458</v>
      </c>
      <c r="L38" s="14" t="n">
        <f aca="false">L35+L37</f>
        <v>330.025365456691</v>
      </c>
      <c r="M38" s="14" t="n">
        <f aca="false">M35+M37</f>
        <v>358.866394721333</v>
      </c>
      <c r="N38" s="14" t="n">
        <f aca="false">N35+N37</f>
        <v>392.797572812265</v>
      </c>
      <c r="O38" s="14" t="n">
        <f aca="false">O35+O37</f>
        <v>423.586545232678</v>
      </c>
      <c r="P38" s="14" t="n">
        <f aca="false">P35+P37</f>
        <v>459.351024853279</v>
      </c>
      <c r="Q38" s="14" t="n">
        <f aca="false">Q35+Q37</f>
        <v>499.640057187953</v>
      </c>
      <c r="R38" s="14" t="n">
        <f aca="false">R35+R37</f>
        <v>536.335448277308</v>
      </c>
      <c r="S38" s="14" t="n">
        <f aca="false">S35+S37</f>
        <v>577.568199982237</v>
      </c>
      <c r="T38" s="14" t="n">
        <f aca="false">T35+T37</f>
        <v>622.953314289184</v>
      </c>
      <c r="U38" s="14" t="n">
        <f aca="false">U35+U37</f>
        <v>672.154369200587</v>
      </c>
      <c r="V38" s="14" t="n">
        <f aca="false">V35+V37</f>
        <v>724.877595934436</v>
      </c>
      <c r="W38" s="14" t="n">
        <f aca="false">W35+W37</f>
        <v>780.866723216572</v>
      </c>
      <c r="X38" s="14" t="n">
        <f aca="false">X35+X37</f>
        <v>839.898486287319</v>
      </c>
      <c r="Y38" s="14" t="n">
        <f aca="false">Y35+Y37</f>
        <v>901.778712387028</v>
      </c>
    </row>
    <row r="39" customFormat="false" ht="15" hidden="false" customHeight="false" outlineLevel="0" collapsed="false">
      <c r="A39" s="3" t="s">
        <v>260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customFormat="false" ht="15" hidden="false" customHeight="false" outlineLevel="0" collapsed="false">
      <c r="A40" s="5" t="s">
        <v>261</v>
      </c>
      <c r="B40" s="14" t="n">
        <f aca="false">B12-B32</f>
        <v>-115835.9</v>
      </c>
      <c r="C40" s="14" t="n">
        <f aca="false">C12-C32</f>
        <v>-115835.9</v>
      </c>
      <c r="D40" s="14" t="n">
        <f aca="false">D12-D32</f>
        <v>-111907.133333333</v>
      </c>
      <c r="E40" s="14" t="n">
        <f aca="false">E12-E32</f>
        <v>-158403.031971875</v>
      </c>
      <c r="F40" s="14" t="n">
        <f aca="false">F12-F32</f>
        <v>-155280.31675496</v>
      </c>
      <c r="G40" s="14" t="n">
        <f aca="false">G12-G32</f>
        <v>-152491.823374794</v>
      </c>
      <c r="H40" s="14" t="n">
        <f aca="false">H12-H32</f>
        <v>-149353.04472663</v>
      </c>
      <c r="I40" s="14" t="n">
        <f aca="false">I12-I32</f>
        <v>-146532.167956265</v>
      </c>
      <c r="J40" s="14" t="n">
        <f aca="false">J12-J32</f>
        <v>-143998.439251732</v>
      </c>
      <c r="K40" s="14" t="n">
        <f aca="false">K12-K32</f>
        <v>-141082.230672078</v>
      </c>
      <c r="L40" s="14" t="n">
        <f aca="false">L12-L32</f>
        <v>-138441.060944524</v>
      </c>
      <c r="M40" s="14" t="n">
        <f aca="false">M12-M32</f>
        <v>-136054.69049287</v>
      </c>
      <c r="N40" s="14" t="n">
        <f aca="false">N12-N32</f>
        <v>-183266.410556416</v>
      </c>
      <c r="O40" s="14" t="n">
        <f aca="false">O12-O32</f>
        <v>-180721.398709485</v>
      </c>
      <c r="P40" s="14" t="n">
        <f aca="false">P12-P32</f>
        <v>-177787.896691512</v>
      </c>
      <c r="Q40" s="14" t="n">
        <f aca="false">Q12-Q32</f>
        <v>-174482.023785908</v>
      </c>
      <c r="R40" s="14" t="n">
        <f aca="false">R12-R32</f>
        <v>-171451.683484397</v>
      </c>
      <c r="S40" s="14" t="n">
        <f aca="false">S12-S32</f>
        <v>-168075.252314389</v>
      </c>
      <c r="T40" s="14" t="n">
        <f aca="false">T12-T32</f>
        <v>-164357.881864991</v>
      </c>
      <c r="U40" s="14" t="n">
        <f aca="false">U12-U32</f>
        <v>-160327.809302895</v>
      </c>
      <c r="V40" s="14" t="n">
        <f aca="false">V12-V32</f>
        <v>-156009.698271681</v>
      </c>
      <c r="W40" s="14" t="n">
        <f aca="false">W12-W32</f>
        <v>-151425.071606523</v>
      </c>
      <c r="X40" s="14" t="n">
        <f aca="false">X12-X32</f>
        <v>-146592.688221765</v>
      </c>
      <c r="Y40" s="14" t="n">
        <f aca="false">Y12-Y32</f>
        <v>-141528.871588879</v>
      </c>
    </row>
    <row r="41" customFormat="false" ht="15" hidden="false" customHeight="false" outlineLevel="0" collapsed="false">
      <c r="A41" s="5" t="s">
        <v>262</v>
      </c>
      <c r="B41" s="14" t="n">
        <f aca="false">B40-B38</f>
        <v>-115835.9</v>
      </c>
      <c r="C41" s="14" t="n">
        <f aca="false">C40-C38</f>
        <v>-115835.9</v>
      </c>
      <c r="D41" s="14" t="n">
        <f aca="false">D40-D38</f>
        <v>-111954.401666667</v>
      </c>
      <c r="E41" s="14" t="n">
        <f aca="false">E40-E38</f>
        <v>-158492.37450375</v>
      </c>
      <c r="F41" s="14" t="n">
        <f aca="false">F40-F38</f>
        <v>-155407.184508013</v>
      </c>
      <c r="G41" s="14" t="n">
        <f aca="false">G40-G38</f>
        <v>-152652.229474684</v>
      </c>
      <c r="H41" s="14" t="n">
        <f aca="false">H40-H38</f>
        <v>-149551.32665552</v>
      </c>
      <c r="I41" s="14" t="n">
        <f aca="false">I40-I38</f>
        <v>-146764.42460304</v>
      </c>
      <c r="J41" s="14" t="n">
        <f aca="false">J40-J38</f>
        <v>-144261.244135899</v>
      </c>
      <c r="K41" s="14" t="n">
        <f aca="false">K40-K38</f>
        <v>-141380.373608036</v>
      </c>
      <c r="L41" s="14" t="n">
        <f aca="false">L40-L38</f>
        <v>-138771.086309981</v>
      </c>
      <c r="M41" s="14" t="n">
        <f aca="false">M40-M38</f>
        <v>-136413.556887591</v>
      </c>
      <c r="N41" s="14" t="n">
        <f aca="false">N40-N38</f>
        <v>-183659.208129228</v>
      </c>
      <c r="O41" s="14" t="n">
        <f aca="false">O40-O38</f>
        <v>-181144.985254717</v>
      </c>
      <c r="P41" s="14" t="n">
        <f aca="false">P40-P38</f>
        <v>-178247.247716366</v>
      </c>
      <c r="Q41" s="14" t="n">
        <f aca="false">Q40-Q38</f>
        <v>-174981.663843096</v>
      </c>
      <c r="R41" s="14" t="n">
        <f aca="false">R40-R38</f>
        <v>-171988.018932675</v>
      </c>
      <c r="S41" s="14" t="n">
        <f aca="false">S40-S38</f>
        <v>-168652.820514371</v>
      </c>
      <c r="T41" s="14" t="n">
        <f aca="false">T40-T38</f>
        <v>-164980.83517928</v>
      </c>
      <c r="U41" s="14" t="n">
        <f aca="false">U40-U38</f>
        <v>-160999.963672095</v>
      </c>
      <c r="V41" s="14" t="n">
        <f aca="false">V40-V38</f>
        <v>-156734.575867615</v>
      </c>
      <c r="W41" s="14" t="n">
        <f aca="false">W40-W38</f>
        <v>-152205.93832974</v>
      </c>
      <c r="X41" s="14" t="n">
        <f aca="false">X40-X38</f>
        <v>-147432.586708053</v>
      </c>
      <c r="Y41" s="14" t="n">
        <f aca="false">Y40-Y38</f>
        <v>-142430.650301266</v>
      </c>
    </row>
    <row r="42" customFormat="false" ht="15" hidden="false" customHeight="false" outlineLevel="0" collapsed="false">
      <c r="A42" s="5" t="s">
        <v>263</v>
      </c>
      <c r="B42" s="14" t="n">
        <f aca="false">B13-B32-B38</f>
        <v>-115835.9</v>
      </c>
      <c r="C42" s="14" t="n">
        <f aca="false">C13-C32-C38</f>
        <v>-115835.9</v>
      </c>
      <c r="D42" s="14" t="n">
        <f aca="false">D13-D32-D38</f>
        <v>-111230.235</v>
      </c>
      <c r="E42" s="14" t="n">
        <f aca="false">E13-E32-E38</f>
        <v>-157406.12450375</v>
      </c>
      <c r="F42" s="14" t="n">
        <f aca="false">F13-F32-F38</f>
        <v>-153958.851174679</v>
      </c>
      <c r="G42" s="14" t="n">
        <f aca="false">G13-G32-G38</f>
        <v>-150841.812808018</v>
      </c>
      <c r="H42" s="14" t="n">
        <f aca="false">H13-H32-H38</f>
        <v>-147016.743322187</v>
      </c>
      <c r="I42" s="14" t="n">
        <f aca="false">I13-I32-I38</f>
        <v>-143807.410714151</v>
      </c>
      <c r="J42" s="14" t="n">
        <f aca="false">J13-J32-J38</f>
        <v>-140881.799691455</v>
      </c>
      <c r="K42" s="14" t="n">
        <f aca="false">K13-K32-K38</f>
        <v>-137035.373608036</v>
      </c>
      <c r="L42" s="14" t="n">
        <f aca="false">L13-L32-L38</f>
        <v>-133943.308532203</v>
      </c>
      <c r="M42" s="14" t="n">
        <f aca="false">M13-M32-M38</f>
        <v>-131103.001332035</v>
      </c>
      <c r="N42" s="14" t="n">
        <f aca="false">N13-N32-N38</f>
        <v>-177141.708129228</v>
      </c>
      <c r="O42" s="14" t="n">
        <f aca="false">O13-O32-O38</f>
        <v>-174084.360254717</v>
      </c>
      <c r="P42" s="14" t="n">
        <f aca="false">P13-P32-P38</f>
        <v>-169798.636605255</v>
      </c>
      <c r="Q42" s="14" t="n">
        <f aca="false">Q13-Q32-Q38</f>
        <v>-165024.372176429</v>
      </c>
      <c r="R42" s="14" t="n">
        <f aca="false">R13-R32-R38</f>
        <v>-161366.907821564</v>
      </c>
      <c r="S42" s="14" t="n">
        <f aca="false">S13-S32-S38</f>
        <v>-156341.987181038</v>
      </c>
      <c r="T42" s="14" t="n">
        <f aca="false">T13-T32-T38</f>
        <v>-150859.58517928</v>
      </c>
      <c r="U42" s="14" t="n">
        <f aca="false">U13-U32-U38</f>
        <v>-144947.602560984</v>
      </c>
      <c r="V42" s="14" t="n">
        <f aca="false">V13-V32-V38</f>
        <v>-138630.409200949</v>
      </c>
      <c r="W42" s="14" t="n">
        <f aca="false">W13-W32-W38</f>
        <v>-131929.271663073</v>
      </c>
      <c r="X42" s="14" t="n">
        <f aca="false">X13-X32-X38</f>
        <v>-124862.725596942</v>
      </c>
      <c r="Y42" s="14" t="n">
        <f aca="false">Y13-Y32-Y38</f>
        <v>-117446.900301266</v>
      </c>
    </row>
    <row r="43" customFormat="false" ht="15" hidden="false" customHeight="false" outlineLevel="0" collapsed="false">
      <c r="A43" s="5" t="s">
        <v>264</v>
      </c>
      <c r="B43" s="14" t="n">
        <f aca="false">Допущения!$B$52+B42</f>
        <v>384164.1</v>
      </c>
      <c r="C43" s="14" t="n">
        <f aca="false">B43+C42</f>
        <v>268328.2</v>
      </c>
      <c r="D43" s="14" t="n">
        <f aca="false">C43+D42</f>
        <v>157097.965</v>
      </c>
      <c r="E43" s="14" t="n">
        <f aca="false">D43+E42</f>
        <v>-308.159503750037</v>
      </c>
      <c r="F43" s="14" t="n">
        <f aca="false">E43+F42</f>
        <v>-154267.010678429</v>
      </c>
      <c r="G43" s="14" t="n">
        <f aca="false">F43+G42</f>
        <v>-305108.823486447</v>
      </c>
      <c r="H43" s="14" t="n">
        <f aca="false">G43+H42</f>
        <v>-452125.566808634</v>
      </c>
      <c r="I43" s="14" t="n">
        <f aca="false">H43+I42</f>
        <v>-595932.977522785</v>
      </c>
      <c r="J43" s="14" t="n">
        <f aca="false">I43+J42</f>
        <v>-736814.77721424</v>
      </c>
      <c r="K43" s="14" t="n">
        <f aca="false">J43+K42</f>
        <v>-873850.150822276</v>
      </c>
      <c r="L43" s="14" t="n">
        <f aca="false">K43+L42</f>
        <v>-1007793.45935448</v>
      </c>
      <c r="M43" s="14" t="n">
        <f aca="false">L43+M42</f>
        <v>-1138896.46068651</v>
      </c>
      <c r="N43" s="14" t="n">
        <f aca="false">M43+N42</f>
        <v>-1316038.16881574</v>
      </c>
      <c r="O43" s="14" t="n">
        <f aca="false">N43+O42</f>
        <v>-1490122.52907046</v>
      </c>
      <c r="P43" s="14" t="n">
        <f aca="false">O43+P42</f>
        <v>-1659921.16567571</v>
      </c>
      <c r="Q43" s="14" t="n">
        <f aca="false">P43+Q42</f>
        <v>-1824945.53785214</v>
      </c>
      <c r="R43" s="14" t="n">
        <f aca="false">Q43+R42</f>
        <v>-1986312.44567371</v>
      </c>
      <c r="S43" s="14" t="n">
        <f aca="false">R43+S42</f>
        <v>-2142654.43285475</v>
      </c>
      <c r="T43" s="14" t="n">
        <f aca="false">S43+T42</f>
        <v>-2293514.01803403</v>
      </c>
      <c r="U43" s="14" t="n">
        <f aca="false">T43+U42</f>
        <v>-2438461.62059501</v>
      </c>
      <c r="V43" s="14" t="n">
        <f aca="false">U43+V42</f>
        <v>-2577092.02979596</v>
      </c>
      <c r="W43" s="14" t="n">
        <f aca="false">V43+W42</f>
        <v>-2709021.30145903</v>
      </c>
      <c r="X43" s="14" t="n">
        <f aca="false">W43+X42</f>
        <v>-2833884.02705597</v>
      </c>
      <c r="Y43" s="14" t="n">
        <f aca="false">X43+Y42</f>
        <v>-2951330.92735724</v>
      </c>
      <c r="Z43" s="8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2"/>
    <col collapsed="false" customWidth="true" hidden="false" outlineLevel="0" max="26" min="26" style="0" width="60"/>
  </cols>
  <sheetData>
    <row r="1" customFormat="false" ht="17.3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3" customFormat="false" ht="15" hidden="false" customHeight="false" outlineLevel="0" collapsed="false">
      <c r="A3" s="19" t="s">
        <v>194</v>
      </c>
      <c r="B3" s="19" t="s">
        <v>195</v>
      </c>
      <c r="C3" s="19" t="s">
        <v>196</v>
      </c>
      <c r="D3" s="19" t="s">
        <v>197</v>
      </c>
      <c r="E3" s="19" t="s">
        <v>198</v>
      </c>
      <c r="F3" s="19" t="s">
        <v>199</v>
      </c>
      <c r="G3" s="19" t="s">
        <v>200</v>
      </c>
      <c r="H3" s="19" t="s">
        <v>201</v>
      </c>
      <c r="I3" s="19" t="s">
        <v>202</v>
      </c>
      <c r="J3" s="19" t="s">
        <v>203</v>
      </c>
      <c r="K3" s="19" t="s">
        <v>204</v>
      </c>
      <c r="L3" s="19" t="s">
        <v>205</v>
      </c>
      <c r="M3" s="19" t="s">
        <v>206</v>
      </c>
      <c r="N3" s="19" t="s">
        <v>207</v>
      </c>
      <c r="O3" s="19" t="s">
        <v>208</v>
      </c>
      <c r="P3" s="19" t="s">
        <v>209</v>
      </c>
      <c r="Q3" s="19" t="s">
        <v>210</v>
      </c>
      <c r="R3" s="19" t="s">
        <v>211</v>
      </c>
      <c r="S3" s="19" t="s">
        <v>212</v>
      </c>
      <c r="T3" s="19" t="s">
        <v>213</v>
      </c>
      <c r="U3" s="19" t="s">
        <v>214</v>
      </c>
      <c r="V3" s="19" t="s">
        <v>215</v>
      </c>
      <c r="W3" s="19" t="s">
        <v>216</v>
      </c>
      <c r="X3" s="19" t="s">
        <v>217</v>
      </c>
      <c r="Y3" s="19" t="s">
        <v>218</v>
      </c>
    </row>
    <row r="4" customFormat="false" ht="15" hidden="false" customHeight="false" outlineLevel="0" collapsed="false">
      <c r="A4" s="3" t="s">
        <v>113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15" hidden="false" customHeight="false" outlineLevel="0" collapsed="false">
      <c r="A5" s="17" t="s">
        <v>219</v>
      </c>
      <c r="B5" s="11" t="n">
        <f aca="false">B8</f>
        <v>63</v>
      </c>
      <c r="C5" s="11" t="n">
        <f aca="false">B5+C8</f>
        <v>128</v>
      </c>
      <c r="D5" s="11" t="n">
        <f aca="false">C5+D8</f>
        <v>195</v>
      </c>
      <c r="E5" s="11" t="n">
        <f aca="false">D5+E8</f>
        <v>265</v>
      </c>
      <c r="F5" s="11" t="n">
        <f aca="false">E5+F8</f>
        <v>338</v>
      </c>
      <c r="G5" s="11" t="n">
        <f aca="false">F5+G8</f>
        <v>415</v>
      </c>
      <c r="H5" s="11" t="n">
        <f aca="false">G5+H8</f>
        <v>495</v>
      </c>
      <c r="I5" s="11" t="n">
        <f aca="false">H5+I8</f>
        <v>580</v>
      </c>
      <c r="J5" s="11" t="n">
        <f aca="false">I5+J8</f>
        <v>669</v>
      </c>
      <c r="K5" s="11" t="n">
        <f aca="false">J5+K8</f>
        <v>763</v>
      </c>
      <c r="L5" s="11" t="n">
        <f aca="false">K5+L8</f>
        <v>862</v>
      </c>
      <c r="M5" s="11" t="n">
        <f aca="false">L5+M8</f>
        <v>967</v>
      </c>
      <c r="N5" s="11" t="n">
        <f aca="false">M5+N8</f>
        <v>1078</v>
      </c>
      <c r="O5" s="11" t="n">
        <f aca="false">N5+O8</f>
        <v>1196</v>
      </c>
      <c r="P5" s="11" t="n">
        <f aca="false">O5+P8</f>
        <v>1322</v>
      </c>
      <c r="Q5" s="11" t="n">
        <f aca="false">P5+Q8</f>
        <v>1456</v>
      </c>
      <c r="R5" s="11" t="n">
        <f aca="false">Q5+R8</f>
        <v>1600</v>
      </c>
      <c r="S5" s="11" t="n">
        <f aca="false">R5+S8</f>
        <v>1753</v>
      </c>
      <c r="T5" s="11" t="n">
        <f aca="false">S5+T8</f>
        <v>1917</v>
      </c>
      <c r="U5" s="11" t="n">
        <f aca="false">T5+U8</f>
        <v>2093</v>
      </c>
      <c r="V5" s="11" t="n">
        <f aca="false">U5+V8</f>
        <v>2281</v>
      </c>
      <c r="W5" s="11" t="n">
        <f aca="false">V5+W8</f>
        <v>2483</v>
      </c>
      <c r="X5" s="11" t="n">
        <f aca="false">W5+X8</f>
        <v>2700</v>
      </c>
      <c r="Y5" s="11" t="n">
        <f aca="false">X5+Y8</f>
        <v>2933</v>
      </c>
    </row>
    <row r="6" customFormat="false" ht="15" hidden="false" customHeight="false" outlineLevel="0" collapsed="false">
      <c r="A6" s="17" t="s">
        <v>220</v>
      </c>
      <c r="B6" s="11" t="n">
        <f aca="false">Допущения!$C$17*(1+Допущения!$C$18)^0</f>
        <v>25</v>
      </c>
      <c r="C6" s="11" t="n">
        <f aca="false">Допущения!$C$17*(1+Допущения!$C$18)^1</f>
        <v>27.5</v>
      </c>
      <c r="D6" s="11" t="n">
        <f aca="false">Допущения!$C$17*(1+Допущения!$C$18)^2</f>
        <v>30.25</v>
      </c>
      <c r="E6" s="11" t="n">
        <f aca="false">Допущения!$C$17*(1+Допущения!$C$18)^3</f>
        <v>33.275</v>
      </c>
      <c r="F6" s="11" t="n">
        <f aca="false">Допущения!$C$17*(1+Допущения!$C$18)^4</f>
        <v>36.6025</v>
      </c>
      <c r="G6" s="11" t="n">
        <f aca="false">Допущения!$C$17*(1+Допущения!$C$18)^5</f>
        <v>40.26275</v>
      </c>
      <c r="H6" s="11" t="n">
        <f aca="false">Допущения!$C$17*(1+Допущения!$C$18)^6</f>
        <v>44.289025</v>
      </c>
      <c r="I6" s="11" t="n">
        <f aca="false">Допущения!$C$17*(1+Допущения!$C$18)^7</f>
        <v>48.7179275</v>
      </c>
      <c r="J6" s="11" t="n">
        <f aca="false">Допущения!$C$17*(1+Допущения!$C$18)^8</f>
        <v>53.58972025</v>
      </c>
      <c r="K6" s="11" t="n">
        <f aca="false">Допущения!$C$17*(1+Допущения!$C$18)^9</f>
        <v>58.9486922750001</v>
      </c>
      <c r="L6" s="11" t="n">
        <f aca="false">Допущения!$C$17*(1+Допущения!$C$18)^10</f>
        <v>64.8435615025001</v>
      </c>
      <c r="M6" s="11" t="n">
        <f aca="false">Допущения!$C$17*(1+Допущения!$C$18)^11</f>
        <v>71.3279176527501</v>
      </c>
      <c r="N6" s="11" t="n">
        <f aca="false">Допущения!$C$17*(1+Допущения!$C$18)^12</f>
        <v>78.4607094180251</v>
      </c>
      <c r="O6" s="11" t="n">
        <f aca="false">Допущения!$C$17*(1+Допущения!$C$18)^13</f>
        <v>86.3067803598276</v>
      </c>
      <c r="P6" s="11" t="n">
        <f aca="false">Допущения!$C$17*(1+Допущения!$C$18)^14</f>
        <v>94.9374583958104</v>
      </c>
      <c r="Q6" s="11" t="n">
        <f aca="false">Допущения!$C$17*(1+Допущения!$C$18)^15</f>
        <v>104.431204235391</v>
      </c>
      <c r="R6" s="11" t="n">
        <f aca="false">Допущения!$C$17*(1+Допущения!$C$18)^16</f>
        <v>114.874324658931</v>
      </c>
      <c r="S6" s="11" t="n">
        <f aca="false">Допущения!$C$17*(1+Допущения!$C$18)^17</f>
        <v>126.361757124824</v>
      </c>
      <c r="T6" s="11" t="n">
        <f aca="false">Допущения!$C$17*(1+Допущения!$C$18)^18</f>
        <v>138.997932837306</v>
      </c>
      <c r="U6" s="11" t="n">
        <f aca="false">Допущения!$C$17*(1+Допущения!$C$18)^19</f>
        <v>152.897726121037</v>
      </c>
      <c r="V6" s="11" t="n">
        <f aca="false">Допущения!$C$17*(1+Допущения!$C$18)^20</f>
        <v>168.18749873314</v>
      </c>
      <c r="W6" s="11" t="n">
        <f aca="false">Допущения!$C$17*(1+Допущения!$C$18)^21</f>
        <v>185.006248606454</v>
      </c>
      <c r="X6" s="11" t="n">
        <f aca="false">Допущения!$C$17*(1+Допущения!$C$18)^22</f>
        <v>203.5068734671</v>
      </c>
      <c r="Y6" s="11" t="n">
        <f aca="false">Допущения!$C$17*(1+Допущения!$C$18)^23</f>
        <v>223.85756081381</v>
      </c>
    </row>
    <row r="7" customFormat="false" ht="22.35" hidden="false" customHeight="false" outlineLevel="0" collapsed="false">
      <c r="A7" s="17" t="s">
        <v>221</v>
      </c>
      <c r="B7" s="11" t="n">
        <f aca="false">Допущения!$C$34/Допущения!$C$19</f>
        <v>37.5</v>
      </c>
      <c r="C7" s="11" t="n">
        <f aca="false">Допущения!$C$34/Допущения!$C$19</f>
        <v>37.5</v>
      </c>
      <c r="D7" s="11" t="n">
        <f aca="false">Допущения!$C$34/Допущения!$C$19</f>
        <v>37.5</v>
      </c>
      <c r="E7" s="11" t="n">
        <f aca="false">Допущения!$C$34/Допущения!$C$19</f>
        <v>37.5</v>
      </c>
      <c r="F7" s="11" t="n">
        <f aca="false">Допущения!$C$34/Допущения!$C$19</f>
        <v>37.5</v>
      </c>
      <c r="G7" s="11" t="n">
        <f aca="false">Допущения!$C$34/Допущения!$C$19</f>
        <v>37.5</v>
      </c>
      <c r="H7" s="11" t="n">
        <f aca="false">Допущения!$C$34/Допущения!$C$19</f>
        <v>37.5</v>
      </c>
      <c r="I7" s="11" t="n">
        <f aca="false">Допущения!$C$34/Допущения!$C$19</f>
        <v>37.5</v>
      </c>
      <c r="J7" s="11" t="n">
        <f aca="false">Допущения!$C$34/Допущения!$C$19</f>
        <v>37.5</v>
      </c>
      <c r="K7" s="11" t="n">
        <f aca="false">Допущения!$C$34/Допущения!$C$19</f>
        <v>37.5</v>
      </c>
      <c r="L7" s="11" t="n">
        <f aca="false">Допущения!$C$34/Допущения!$C$19</f>
        <v>37.5</v>
      </c>
      <c r="M7" s="11" t="n">
        <f aca="false">Допущения!$C$34/Допущения!$C$19</f>
        <v>37.5</v>
      </c>
      <c r="N7" s="11" t="n">
        <f aca="false">Допущения!$C$34/Допущения!$C$19</f>
        <v>37.5</v>
      </c>
      <c r="O7" s="11" t="n">
        <f aca="false">Допущения!$C$34/Допущения!$C$19</f>
        <v>37.5</v>
      </c>
      <c r="P7" s="11" t="n">
        <f aca="false">Допущения!$C$34/Допущения!$C$19</f>
        <v>37.5</v>
      </c>
      <c r="Q7" s="11" t="n">
        <f aca="false">Допущения!$C$34/Допущения!$C$19</f>
        <v>37.5</v>
      </c>
      <c r="R7" s="11" t="n">
        <f aca="false">Допущения!$C$34/Допущения!$C$19</f>
        <v>37.5</v>
      </c>
      <c r="S7" s="11" t="n">
        <f aca="false">Допущения!$C$34/Допущения!$C$19</f>
        <v>37.5</v>
      </c>
      <c r="T7" s="11" t="n">
        <f aca="false">Допущения!$C$34/Допущения!$C$19</f>
        <v>37.5</v>
      </c>
      <c r="U7" s="11" t="n">
        <f aca="false">Допущения!$C$34/Допущения!$C$19</f>
        <v>37.5</v>
      </c>
      <c r="V7" s="11" t="n">
        <f aca="false">Допущения!$C$34/Допущения!$C$19</f>
        <v>37.5</v>
      </c>
      <c r="W7" s="11" t="n">
        <f aca="false">Допущения!$C$34/Допущения!$C$19</f>
        <v>37.5</v>
      </c>
      <c r="X7" s="11" t="n">
        <f aca="false">Допущения!$C$34/Допущения!$C$19</f>
        <v>37.5</v>
      </c>
      <c r="Y7" s="11" t="n">
        <f aca="false">Допущения!$C$34/Допущения!$C$19</f>
        <v>37.5</v>
      </c>
      <c r="Z7" s="8" t="s">
        <v>222</v>
      </c>
    </row>
    <row r="8" customFormat="false" ht="32.8" hidden="false" customHeight="false" outlineLevel="0" collapsed="false">
      <c r="A8" s="17" t="s">
        <v>223</v>
      </c>
      <c r="B8" s="11" t="n">
        <f aca="false">ROUND((B6+B7)*1,0)</f>
        <v>63</v>
      </c>
      <c r="C8" s="11" t="n">
        <f aca="false">ROUND((C6+C7)*MAX(0,1-B5/Допущения!$C$15),0)</f>
        <v>65</v>
      </c>
      <c r="D8" s="11" t="n">
        <f aca="false">ROUND((D6+D7)*MAX(0,1-C5/Допущения!$C$15),0)</f>
        <v>67</v>
      </c>
      <c r="E8" s="11" t="n">
        <f aca="false">ROUND((E6+E7)*MAX(0,1-D5/Допущения!$C$15),0)</f>
        <v>70</v>
      </c>
      <c r="F8" s="11" t="n">
        <f aca="false">ROUND((F6+F7)*MAX(0,1-E5/Допущения!$C$15),0)</f>
        <v>73</v>
      </c>
      <c r="G8" s="11" t="n">
        <f aca="false">ROUND((G6+G7)*MAX(0,1-F5/Допущения!$C$15),0)</f>
        <v>77</v>
      </c>
      <c r="H8" s="11" t="n">
        <f aca="false">ROUND((H6+H7)*MAX(0,1-G5/Допущения!$C$15),0)</f>
        <v>80</v>
      </c>
      <c r="I8" s="11" t="n">
        <f aca="false">ROUND((I6+I7)*MAX(0,1-H5/Допущения!$C$15),0)</f>
        <v>85</v>
      </c>
      <c r="J8" s="11" t="n">
        <f aca="false">ROUND((J6+J7)*MAX(0,1-I5/Допущения!$C$15),0)</f>
        <v>89</v>
      </c>
      <c r="K8" s="11" t="n">
        <f aca="false">ROUND((K6+K7)*MAX(0,1-J5/Допущения!$C$15),0)</f>
        <v>94</v>
      </c>
      <c r="L8" s="11" t="n">
        <f aca="false">ROUND((L6+L7)*MAX(0,1-K5/Допущения!$C$15),0)</f>
        <v>99</v>
      </c>
      <c r="M8" s="11" t="n">
        <f aca="false">ROUND((M6+M7)*MAX(0,1-L5/Допущения!$C$15),0)</f>
        <v>105</v>
      </c>
      <c r="N8" s="11" t="n">
        <f aca="false">ROUND((N6+N7)*MAX(0,1-M5/Допущения!$C$15),0)</f>
        <v>111</v>
      </c>
      <c r="O8" s="11" t="n">
        <f aca="false">ROUND((O6+O7)*MAX(0,1-N5/Допущения!$C$15),0)</f>
        <v>118</v>
      </c>
      <c r="P8" s="11" t="n">
        <f aca="false">ROUND((P6+P7)*MAX(0,1-O5/Допущения!$C$15),0)</f>
        <v>126</v>
      </c>
      <c r="Q8" s="11" t="n">
        <f aca="false">ROUND((Q6+Q7)*MAX(0,1-P5/Допущения!$C$15),0)</f>
        <v>134</v>
      </c>
      <c r="R8" s="11" t="n">
        <f aca="false">ROUND((R6+R7)*MAX(0,1-Q5/Допущения!$C$15),0)</f>
        <v>144</v>
      </c>
      <c r="S8" s="11" t="n">
        <f aca="false">ROUND((S6+S7)*MAX(0,1-R5/Допущения!$C$15),0)</f>
        <v>153</v>
      </c>
      <c r="T8" s="11" t="n">
        <f aca="false">ROUND((T6+T7)*MAX(0,1-S5/Допущения!$C$15),0)</f>
        <v>164</v>
      </c>
      <c r="U8" s="11" t="n">
        <f aca="false">ROUND((U6+U7)*MAX(0,1-T5/Допущения!$C$15),0)</f>
        <v>176</v>
      </c>
      <c r="V8" s="11" t="n">
        <f aca="false">ROUND((V6+V7)*MAX(0,1-U5/Допущения!$C$15),0)</f>
        <v>188</v>
      </c>
      <c r="W8" s="11" t="n">
        <f aca="false">ROUND((W6+W7)*MAX(0,1-V5/Допущения!$C$15),0)</f>
        <v>202</v>
      </c>
      <c r="X8" s="11" t="n">
        <f aca="false">ROUND((X6+X7)*MAX(0,1-W5/Допущения!$C$15),0)</f>
        <v>217</v>
      </c>
      <c r="Y8" s="11" t="n">
        <f aca="false">ROUND((Y6+Y7)*MAX(0,1-X5/Допущения!$C$15),0)</f>
        <v>233</v>
      </c>
      <c r="Z8" s="8" t="s">
        <v>224</v>
      </c>
    </row>
    <row r="9" customFormat="false" ht="15" hidden="false" customHeight="false" outlineLevel="0" collapsed="false">
      <c r="A9" s="17" t="s">
        <v>225</v>
      </c>
      <c r="B9" s="11" t="n">
        <f aca="false">IF(COLUMN()-1-Допущения!$C$21&lt;1,0,IFERROR(ROUND(INDEX($B$8:$Y$8,1,COLUMN()-1-Допущения!$C$21)*Допущения!$C$20,0),0))</f>
        <v>0</v>
      </c>
      <c r="C9" s="11" t="n">
        <f aca="false">IF(COLUMN()-1-Допущения!$C$21&lt;1,0,IFERROR(ROUND(INDEX($B$8:$Y$8,1,COLUMN()-1-Допущения!$C$21)*Допущения!$C$20,0),0))</f>
        <v>0</v>
      </c>
      <c r="D9" s="11" t="n">
        <f aca="false">IF(COLUMN()-1-Допущения!$C$21&lt;1,0,IFERROR(ROUND(INDEX($B$8:$Y$8,1,COLUMN()-1-Допущения!$C$21)*Допущения!$C$20,0),0))</f>
        <v>4</v>
      </c>
      <c r="E9" s="11" t="n">
        <f aca="false">IF(COLUMN()-1-Допущения!$C$21&lt;1,0,IFERROR(ROUND(INDEX($B$8:$Y$8,1,COLUMN()-1-Допущения!$C$21)*Допущения!$C$20,0),0))</f>
        <v>5</v>
      </c>
      <c r="F9" s="11" t="n">
        <f aca="false">IF(COLUMN()-1-Допущения!$C$21&lt;1,0,IFERROR(ROUND(INDEX($B$8:$Y$8,1,COLUMN()-1-Допущения!$C$21)*Допущения!$C$20,0),0))</f>
        <v>5</v>
      </c>
      <c r="G9" s="11" t="n">
        <f aca="false">IF(COLUMN()-1-Допущения!$C$21&lt;1,0,IFERROR(ROUND(INDEX($B$8:$Y$8,1,COLUMN()-1-Допущения!$C$21)*Допущения!$C$20,0),0))</f>
        <v>5</v>
      </c>
      <c r="H9" s="11" t="n">
        <f aca="false">IF(COLUMN()-1-Допущения!$C$21&lt;1,0,IFERROR(ROUND(INDEX($B$8:$Y$8,1,COLUMN()-1-Допущения!$C$21)*Допущения!$C$20,0),0))</f>
        <v>5</v>
      </c>
      <c r="I9" s="11" t="n">
        <f aca="false">IF(COLUMN()-1-Допущения!$C$21&lt;1,0,IFERROR(ROUND(INDEX($B$8:$Y$8,1,COLUMN()-1-Допущения!$C$21)*Допущения!$C$20,0),0))</f>
        <v>5</v>
      </c>
      <c r="J9" s="11" t="n">
        <f aca="false">IF(COLUMN()-1-Допущения!$C$21&lt;1,0,IFERROR(ROUND(INDEX($B$8:$Y$8,1,COLUMN()-1-Допущения!$C$21)*Допущения!$C$20,0),0))</f>
        <v>6</v>
      </c>
      <c r="K9" s="11" t="n">
        <f aca="false">IF(COLUMN()-1-Допущения!$C$21&lt;1,0,IFERROR(ROUND(INDEX($B$8:$Y$8,1,COLUMN()-1-Допущения!$C$21)*Допущения!$C$20,0),0))</f>
        <v>6</v>
      </c>
      <c r="L9" s="11" t="n">
        <f aca="false">IF(COLUMN()-1-Допущения!$C$21&lt;1,0,IFERROR(ROUND(INDEX($B$8:$Y$8,1,COLUMN()-1-Допущения!$C$21)*Допущения!$C$20,0),0))</f>
        <v>6</v>
      </c>
      <c r="M9" s="11" t="n">
        <f aca="false">IF(COLUMN()-1-Допущения!$C$21&lt;1,0,IFERROR(ROUND(INDEX($B$8:$Y$8,1,COLUMN()-1-Допущения!$C$21)*Допущения!$C$20,0),0))</f>
        <v>7</v>
      </c>
      <c r="N9" s="11" t="n">
        <f aca="false">IF(COLUMN()-1-Допущения!$C$21&lt;1,0,IFERROR(ROUND(INDEX($B$8:$Y$8,1,COLUMN()-1-Допущения!$C$21)*Допущения!$C$20,0),0))</f>
        <v>7</v>
      </c>
      <c r="O9" s="11" t="n">
        <f aca="false">IF(COLUMN()-1-Допущения!$C$21&lt;1,0,IFERROR(ROUND(INDEX($B$8:$Y$8,1,COLUMN()-1-Допущения!$C$21)*Допущения!$C$20,0),0))</f>
        <v>7</v>
      </c>
      <c r="P9" s="11" t="n">
        <f aca="false">IF(COLUMN()-1-Допущения!$C$21&lt;1,0,IFERROR(ROUND(INDEX($B$8:$Y$8,1,COLUMN()-1-Допущения!$C$21)*Допущения!$C$20,0),0))</f>
        <v>8</v>
      </c>
      <c r="Q9" s="11" t="n">
        <f aca="false">IF(COLUMN()-1-Допущения!$C$21&lt;1,0,IFERROR(ROUND(INDEX($B$8:$Y$8,1,COLUMN()-1-Допущения!$C$21)*Допущения!$C$20,0),0))</f>
        <v>8</v>
      </c>
      <c r="R9" s="11" t="n">
        <f aca="false">IF(COLUMN()-1-Допущения!$C$21&lt;1,0,IFERROR(ROUND(INDEX($B$8:$Y$8,1,COLUMN()-1-Допущения!$C$21)*Допущения!$C$20,0),0))</f>
        <v>9</v>
      </c>
      <c r="S9" s="11" t="n">
        <f aca="false">IF(COLUMN()-1-Допущения!$C$21&lt;1,0,IFERROR(ROUND(INDEX($B$8:$Y$8,1,COLUMN()-1-Допущения!$C$21)*Допущения!$C$20,0),0))</f>
        <v>9</v>
      </c>
      <c r="T9" s="11" t="n">
        <f aca="false">IF(COLUMN()-1-Допущения!$C$21&lt;1,0,IFERROR(ROUND(INDEX($B$8:$Y$8,1,COLUMN()-1-Допущения!$C$21)*Допущения!$C$20,0),0))</f>
        <v>10</v>
      </c>
      <c r="U9" s="11" t="n">
        <f aca="false">IF(COLUMN()-1-Допущения!$C$21&lt;1,0,IFERROR(ROUND(INDEX($B$8:$Y$8,1,COLUMN()-1-Допущения!$C$21)*Допущения!$C$20,0),0))</f>
        <v>11</v>
      </c>
      <c r="V9" s="11" t="n">
        <f aca="false">IF(COLUMN()-1-Допущения!$C$21&lt;1,0,IFERROR(ROUND(INDEX($B$8:$Y$8,1,COLUMN()-1-Допущения!$C$21)*Допущения!$C$20,0),0))</f>
        <v>11</v>
      </c>
      <c r="W9" s="11" t="n">
        <f aca="false">IF(COLUMN()-1-Допущения!$C$21&lt;1,0,IFERROR(ROUND(INDEX($B$8:$Y$8,1,COLUMN()-1-Допущения!$C$21)*Допущения!$C$20,0),0))</f>
        <v>12</v>
      </c>
      <c r="X9" s="11" t="n">
        <f aca="false">IF(COLUMN()-1-Допущения!$C$21&lt;1,0,IFERROR(ROUND(INDEX($B$8:$Y$8,1,COLUMN()-1-Допущения!$C$21)*Допущения!$C$20,0),0))</f>
        <v>13</v>
      </c>
      <c r="Y9" s="11" t="n">
        <f aca="false">IF(COLUMN()-1-Допущения!$C$21&lt;1,0,IFERROR(ROUND(INDEX($B$8:$Y$8,1,COLUMN()-1-Допущения!$C$21)*Допущения!$C$20,0),0))</f>
        <v>14</v>
      </c>
      <c r="Z9" s="8" t="s">
        <v>226</v>
      </c>
    </row>
    <row r="10" customFormat="false" ht="22.35" hidden="false" customHeight="false" outlineLevel="0" collapsed="false">
      <c r="A10" s="17" t="s">
        <v>227</v>
      </c>
      <c r="B10" s="11" t="n">
        <f aca="false">MIN(Допущения!$C$53+B9,Допущения!$C$15*Допущения!$C$16)</f>
        <v>0</v>
      </c>
      <c r="C10" s="11" t="n">
        <f aca="false">MIN(B10*(1-Допущения!$C$12*(1-Допущения!$C$10*1/24))+C9,Допущения!$C$15*Допущения!$C$16)</f>
        <v>0</v>
      </c>
      <c r="D10" s="11" t="n">
        <f aca="false">MIN(C10*(1-Допущения!$C$12*(1-Допущения!$C$10*2/24))+D9,Допущения!$C$15*Допущения!$C$16)</f>
        <v>4</v>
      </c>
      <c r="E10" s="11" t="n">
        <f aca="false">MIN(D10*(1-Допущения!$C$12*(1-Допущения!$C$10*3/24))+E9,Допущения!$C$15*Допущения!$C$16)</f>
        <v>8.611</v>
      </c>
      <c r="F10" s="11" t="n">
        <f aca="false">MIN(E10*(1-Допущения!$C$12*(1-Допущения!$C$10*4/24))+F9,Допущения!$C$15*Допущения!$C$16)</f>
        <v>12.7814736666667</v>
      </c>
      <c r="G10" s="11" t="n">
        <f aca="false">MIN(F10*(1-Допущения!$C$12*(1-Допущения!$C$10*5/24))+G9,Допущения!$C$15*Допущения!$C$16)</f>
        <v>16.5619080543056</v>
      </c>
      <c r="H10" s="11" t="n">
        <f aca="false">MIN(G10*(1-Допущения!$C$12*(1-Допущения!$C$10*6/24))+H9,Допущения!$C$15*Допущения!$C$16)</f>
        <v>19.9968077431737</v>
      </c>
      <c r="I10" s="11" t="n">
        <f aca="false">MIN(H10*(1-Допущения!$C$12*(1-Допущения!$C$10*7/24))+I9,Допущения!$C$15*Допущения!$C$16)</f>
        <v>23.1254398185417</v>
      </c>
      <c r="J10" s="11" t="n">
        <f aca="false">MIN(I10*(1-Допущения!$C$12*(1-Допущения!$C$10*8/24))+J9,Допущения!$C$15*Допущения!$C$16)</f>
        <v>26.9824823953568</v>
      </c>
      <c r="K10" s="11" t="n">
        <f aca="false">MIN(J10*(1-Допущения!$C$12*(1-Допущения!$C$10*9/24))+K9,Допущения!$C$15*Допущения!$C$16)</f>
        <v>30.5068396355828</v>
      </c>
      <c r="L10" s="11" t="n">
        <f aca="false">MIN(K10*(1-Допущения!$C$12*(1-Допущения!$C$10*10/24))+L9,Допущения!$C$15*Допущения!$C$16)</f>
        <v>33.7358017020174</v>
      </c>
      <c r="M10" s="11" t="n">
        <f aca="false">MIN(L10*(1-Допущения!$C$12*(1-Допущения!$C$10*11/24))+M9,Допущения!$C$15*Допущения!$C$16)</f>
        <v>37.7023908656443</v>
      </c>
      <c r="N10" s="11" t="n">
        <f aca="false">MIN(M10*(1-Допущения!$C$12*(1-Допущения!$C$10*12/24))+N9,Допущения!$C$15*Допущения!$C$16)</f>
        <v>41.346878078602</v>
      </c>
      <c r="O10" s="11" t="n">
        <f aca="false">MIN(N10*(1-Допущения!$C$12*(1-Допущения!$C$10*13/24))+O9,Допущения!$C$15*Допущения!$C$16)</f>
        <v>44.7049072345118</v>
      </c>
      <c r="P10" s="11" t="n">
        <f aca="false">MIN(O10*(1-Допущения!$C$12*(1-Допущения!$C$10*14/24))+P9,Допущения!$C$15*Допущения!$C$16)</f>
        <v>48.8081294872369</v>
      </c>
      <c r="Q10" s="11" t="n">
        <f aca="false">MIN(P10*(1-Допущения!$C$12*(1-Допущения!$C$10*15/24))+Q9,Допущения!$C$15*Допущения!$C$16)</f>
        <v>52.5984283189627</v>
      </c>
      <c r="R10" s="11" t="n">
        <f aca="false">MIN(Q10*(1-Допущения!$C$12*(1-Допущения!$C$10*16/24))+R9,Допущения!$C$15*Допущения!$C$16)</f>
        <v>57.1100291024112</v>
      </c>
      <c r="S10" s="11" t="n">
        <f aca="false">MIN(R10*(1-Допущения!$C$12*(1-Допущения!$C$10*17/24))+S9,Допущения!$C$15*Допущения!$C$16)</f>
        <v>61.2889908123493</v>
      </c>
      <c r="T10" s="11" t="n">
        <f aca="false">MIN(S10*(1-Допущения!$C$12*(1-Допущения!$C$10*18/24))+T9,Допущения!$C$15*Допущения!$C$16)</f>
        <v>66.1713600795181</v>
      </c>
      <c r="U10" s="11" t="n">
        <f aca="false">MIN(T10*(1-Допущения!$C$12*(1-Допущения!$C$10*19/24))+U9,Допущения!$C$15*Допущения!$C$16)</f>
        <v>71.7067085929513</v>
      </c>
      <c r="V10" s="11" t="n">
        <f aca="false">MIN(U10*(1-Допущения!$C$12*(1-Допущения!$C$10*20/24))+V9,Допущения!$C$15*Допущения!$C$16)</f>
        <v>76.8506607245269</v>
      </c>
      <c r="W10" s="11" t="n">
        <f aca="false">MIN(V10*(1-Допущения!$C$12*(1-Допущения!$C$10*21/24))+W9,Допущения!$C$15*Допущения!$C$16)</f>
        <v>82.6449698710214</v>
      </c>
      <c r="X10" s="11" t="n">
        <f aca="false">MIN(W10*(1-Допущения!$C$12*(1-Допущения!$C$10*22/24))+X9,Допущения!$C$15*Допущения!$C$16)</f>
        <v>89.0471464429848</v>
      </c>
      <c r="Y10" s="11" t="n">
        <f aca="false">MIN(X10*(1-Допущения!$C$12*(1-Допущения!$C$10*23/24))+Y9,Допущения!$C$15*Допущения!$C$16)</f>
        <v>96.0198424695259</v>
      </c>
      <c r="Z10" s="8" t="s">
        <v>228</v>
      </c>
    </row>
    <row r="11" customFormat="false" ht="15" hidden="false" customHeight="false" outlineLevel="0" collapsed="false">
      <c r="A11" s="3" t="s">
        <v>229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customFormat="false" ht="22.35" hidden="false" customHeight="false" outlineLevel="0" collapsed="false">
      <c r="A12" s="17" t="s">
        <v>230</v>
      </c>
      <c r="B12" s="7" t="n">
        <f aca="false">B10*(Допущения!$C$8*(1-Допущения!$C$10*0/24)+Допущения!$C$9/12*Допущения!$C$10*0/24)</f>
        <v>0</v>
      </c>
      <c r="C12" s="7" t="n">
        <f aca="false">C10*(Допущения!$C$8*(1-Допущения!$C$10*1/24)+Допущения!$C$9/12*Допущения!$C$10*1/24)</f>
        <v>0</v>
      </c>
      <c r="D12" s="7" t="n">
        <f aca="false">D10*(Допущения!$C$8*(1-Допущения!$C$10*2/24)+Допущения!$C$9/12*Допущения!$C$10*2/24)</f>
        <v>3947.9</v>
      </c>
      <c r="E12" s="7" t="n">
        <f aca="false">E10*(Допущения!$C$8*(1-Допущения!$C$10*3/24)+Допущения!$C$9/12*Допущения!$C$10*3/24)</f>
        <v>8485.8175875</v>
      </c>
      <c r="F12" s="7" t="n">
        <f aca="false">F10*(Допущения!$C$8*(1-Допущения!$C$10*4/24)+Допущения!$C$9/12*Допущения!$C$10*4/24)</f>
        <v>12576.3310143167</v>
      </c>
      <c r="G12" s="7" t="n">
        <f aca="false">G10*(Допущения!$C$8*(1-Допущения!$C$10*5/24)+Допущения!$C$9/12*Допущения!$C$10*5/24)</f>
        <v>16271.0395441018</v>
      </c>
      <c r="H12" s="7" t="n">
        <f aca="false">H10*(Допущения!$C$8*(1-Допущения!$C$10*6/24)+Допущения!$C$9/12*Допущения!$C$10*6/24)</f>
        <v>19615.3686354726</v>
      </c>
      <c r="I12" s="7" t="n">
        <f aca="false">I10*(Допущения!$C$8*(1-Допущения!$C$10*7/24)+Допущения!$C$9/12*Допущения!$C$10*7/24)</f>
        <v>22649.3448262774</v>
      </c>
      <c r="J12" s="7" t="n">
        <f aca="false">J10*(Допущения!$C$8*(1-Допущения!$C$10*8/24)+Допущения!$C$9/12*Допущения!$C$10*8/24)</f>
        <v>26386.1695344194</v>
      </c>
      <c r="K12" s="7" t="n">
        <f aca="false">K10*(Допущения!$C$8*(1-Допущения!$C$10*9/24)+Допущения!$C$9/12*Допущения!$C$10*9/24)</f>
        <v>29786.4968846876</v>
      </c>
      <c r="L12" s="7" t="n">
        <f aca="false">L10*(Допущения!$C$8*(1-Допущения!$C$10*10/24)+Допущения!$C$9/12*Допущения!$C$10*10/24)</f>
        <v>32888.1896842542</v>
      </c>
      <c r="M12" s="7" t="n">
        <f aca="false">M10*(Допущения!$C$8*(1-Допущения!$C$10*11/24)+Допущения!$C$9/12*Допущения!$C$10*11/24)</f>
        <v>36698.0934289607</v>
      </c>
      <c r="N12" s="7" t="n">
        <f aca="false">N10*(Допущения!$C$8*(1-Допущения!$C$10*12/24)+Допущения!$C$9/12*Допущения!$C$10*12/24)</f>
        <v>40182.9634606893</v>
      </c>
      <c r="O12" s="7" t="n">
        <f aca="false">O10*(Допущения!$C$8*(1-Допущения!$C$10*13/24)+Допущения!$C$9/12*Допущения!$C$10*13/24)</f>
        <v>43378.8479236681</v>
      </c>
      <c r="P12" s="7" t="n">
        <f aca="false">P10*(Допущения!$C$8*(1-Допущения!$C$10*14/24)+Допущения!$C$9/12*Допущения!$C$10*14/24)</f>
        <v>47286.5360504722</v>
      </c>
      <c r="Q12" s="7" t="n">
        <f aca="false">Q10*(Допущения!$C$8*(1-Допущения!$C$10*15/24)+Допущения!$C$9/12*Допущения!$C$10*15/24)</f>
        <v>50879.1171932866</v>
      </c>
      <c r="R12" s="7" t="n">
        <f aca="false">R10*(Допущения!$C$8*(1-Допущения!$C$10*16/24)+Допущения!$C$9/12*Допущения!$C$10*16/24)</f>
        <v>55156.8661071087</v>
      </c>
      <c r="S12" s="7" t="n">
        <f aca="false">S10*(Допущения!$C$8*(1-Допущения!$C$10*17/24)+Допущения!$C$9/12*Допущения!$C$10*17/24)</f>
        <v>59100.2077279633</v>
      </c>
      <c r="T12" s="7" t="n">
        <f aca="false">T10*(Допущения!$C$8*(1-Допущения!$C$10*18/24)+Допущения!$C$9/12*Допущения!$C$10*18/24)</f>
        <v>63708.1312005581</v>
      </c>
      <c r="U12" s="7" t="n">
        <f aca="false">U10*(Допущения!$C$8*(1-Допущения!$C$10*19/24)+Допущения!$C$9/12*Допущения!$C$10*19/24)</f>
        <v>68928.9699688318</v>
      </c>
      <c r="V12" s="7" t="n">
        <f aca="false">V10*(Допущения!$C$8*(1-Допущения!$C$10*20/24)+Допущения!$C$9/12*Допущения!$C$10*20/24)</f>
        <v>73757.4216303647</v>
      </c>
      <c r="W12" s="7" t="n">
        <f aca="false">W10*(Допущения!$C$8*(1-Допущения!$C$10*21/24)+Допущения!$C$9/12*Допущения!$C$10*21/24)</f>
        <v>79193.5093167828</v>
      </c>
      <c r="X12" s="7" t="n">
        <f aca="false">X10*(Допущения!$C$8*(1-Допущения!$C$10*22/24)+Допущения!$C$9/12*Допущения!$C$10*22/24)</f>
        <v>85193.6311806647</v>
      </c>
      <c r="Y12" s="7" t="n">
        <f aca="false">Y10*(Допущения!$C$8*(1-Допущения!$C$10*23/24)+Допущения!$C$9/12*Допущения!$C$10*23/24)</f>
        <v>91719.353774922</v>
      </c>
      <c r="Z12" s="8" t="s">
        <v>231</v>
      </c>
    </row>
    <row r="13" customFormat="false" ht="15" hidden="false" customHeight="false" outlineLevel="0" collapsed="false">
      <c r="A13" s="17" t="s">
        <v>232</v>
      </c>
      <c r="B13" s="7" t="n">
        <f aca="false">B12+B9*Допущения!$C$10*0/24*(Допущения!$C$9-Допущения!$C$9/12)</f>
        <v>0</v>
      </c>
      <c r="C13" s="7" t="n">
        <f aca="false">C12+C9*Допущения!$C$10*1/24*(Допущения!$C$9-Допущения!$C$9/12)</f>
        <v>0</v>
      </c>
      <c r="D13" s="7" t="n">
        <f aca="false">D12+D9*Допущения!$C$10*2/24*(Допущения!$C$9-Допущения!$C$9/12)</f>
        <v>4613.4</v>
      </c>
      <c r="E13" s="7" t="n">
        <f aca="false">E12+E9*Допущения!$C$10*3/24*(Допущения!$C$9-Допущения!$C$9/12)</f>
        <v>9733.6300875</v>
      </c>
      <c r="F13" s="7" t="n">
        <f aca="false">F12+F9*Допущения!$C$10*4/24*(Допущения!$C$9-Допущения!$C$9/12)</f>
        <v>14240.0810143167</v>
      </c>
      <c r="G13" s="7" t="n">
        <f aca="false">G12+G9*Допущения!$C$10*5/24*(Допущения!$C$9-Допущения!$C$9/12)</f>
        <v>18350.7270441018</v>
      </c>
      <c r="H13" s="7" t="n">
        <f aca="false">H12+H9*Допущения!$C$10*6/24*(Допущения!$C$9-Допущения!$C$9/12)</f>
        <v>22110.9936354726</v>
      </c>
      <c r="I13" s="7" t="n">
        <f aca="false">I12+I9*Допущения!$C$10*7/24*(Допущения!$C$9-Допущения!$C$9/12)</f>
        <v>25560.9073262774</v>
      </c>
      <c r="J13" s="7" t="n">
        <f aca="false">J12+J9*Допущения!$C$10*8/24*(Допущения!$C$9-Допущения!$C$9/12)</f>
        <v>30379.1695344194</v>
      </c>
      <c r="K13" s="7" t="n">
        <f aca="false">K12+K9*Допущения!$C$10*9/24*(Допущения!$C$9-Допущения!$C$9/12)</f>
        <v>34278.6218846876</v>
      </c>
      <c r="L13" s="7" t="n">
        <f aca="false">L12+L9*Допущения!$C$10*10/24*(Допущения!$C$9-Допущения!$C$9/12)</f>
        <v>37879.4396842542</v>
      </c>
      <c r="M13" s="7" t="n">
        <f aca="false">M12+M9*Допущения!$C$10*11/24*(Допущения!$C$9-Допущения!$C$9/12)</f>
        <v>43103.5309289607</v>
      </c>
      <c r="N13" s="7" t="n">
        <f aca="false">N12+N9*Допущения!$C$10*12/24*(Допущения!$C$9-Допущения!$C$9/12)</f>
        <v>47170.7134606893</v>
      </c>
      <c r="O13" s="7" t="n">
        <f aca="false">O12+O9*Допущения!$C$10*13/24*(Допущения!$C$9-Допущения!$C$9/12)</f>
        <v>50948.9104236681</v>
      </c>
      <c r="P13" s="7" t="n">
        <f aca="false">P12+P9*Допущения!$C$10*14/24*(Допущения!$C$9-Допущения!$C$9/12)</f>
        <v>56603.5360504722</v>
      </c>
      <c r="Q13" s="7" t="n">
        <f aca="false">Q12+Q9*Допущения!$C$10*15/24*(Допущения!$C$9-Допущения!$C$9/12)</f>
        <v>60861.6171932866</v>
      </c>
      <c r="R13" s="7" t="n">
        <f aca="false">R12+R9*Допущения!$C$10*16/24*(Допущения!$C$9-Допущения!$C$9/12)</f>
        <v>67135.8661071087</v>
      </c>
      <c r="S13" s="7" t="n">
        <f aca="false">S12+S9*Допущения!$C$10*17/24*(Допущения!$C$9-Допущения!$C$9/12)</f>
        <v>71827.8952279633</v>
      </c>
      <c r="T13" s="7" t="n">
        <f aca="false">T12+T9*Допущения!$C$10*18/24*(Допущения!$C$9-Допущения!$C$9/12)</f>
        <v>78681.8812005581</v>
      </c>
      <c r="U13" s="7" t="n">
        <f aca="false">U12+U9*Допущения!$C$10*19/24*(Допущения!$C$9-Допущения!$C$9/12)</f>
        <v>86315.1574688318</v>
      </c>
      <c r="V13" s="7" t="n">
        <f aca="false">V12+V9*Допущения!$C$10*20/24*(Допущения!$C$9-Допущения!$C$9/12)</f>
        <v>92058.6716303647</v>
      </c>
      <c r="W13" s="7" t="n">
        <f aca="false">W12+W9*Допущения!$C$10*21/24*(Допущения!$C$9-Допущения!$C$9/12)</f>
        <v>100156.759316783</v>
      </c>
      <c r="X13" s="7" t="n">
        <f aca="false">X12+X9*Допущения!$C$10*22/24*(Допущения!$C$9-Допущения!$C$9/12)</f>
        <v>108985.256180665</v>
      </c>
      <c r="Y13" s="7" t="n">
        <f aca="false">Y12+Y9*Допущения!$C$10*23/24*(Допущения!$C$9-Допущения!$C$9/12)</f>
        <v>118505.728774922</v>
      </c>
      <c r="Z13" s="8" t="s">
        <v>233</v>
      </c>
    </row>
    <row r="14" customFormat="false" ht="15" hidden="false" customHeight="false" outlineLevel="0" collapsed="false">
      <c r="A14" s="3" t="s">
        <v>234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customFormat="false" ht="15" hidden="false" customHeight="false" outlineLevel="0" collapsed="false">
      <c r="A15" s="17" t="s">
        <v>129</v>
      </c>
      <c r="B15" s="7" t="n">
        <f aca="false">Допущения!$C$23</f>
        <v>5300</v>
      </c>
      <c r="C15" s="7" t="n">
        <f aca="false">Допущения!$C$23</f>
        <v>5300</v>
      </c>
      <c r="D15" s="7" t="n">
        <f aca="false">Допущения!$C$23</f>
        <v>5300</v>
      </c>
      <c r="E15" s="7" t="n">
        <f aca="false">Допущения!$C$23</f>
        <v>5300</v>
      </c>
      <c r="F15" s="7" t="n">
        <f aca="false">Допущения!$C$23</f>
        <v>5300</v>
      </c>
      <c r="G15" s="7" t="n">
        <f aca="false">Допущения!$C$23</f>
        <v>5300</v>
      </c>
      <c r="H15" s="7" t="n">
        <f aca="false">Допущения!$C$23</f>
        <v>5300</v>
      </c>
      <c r="I15" s="7" t="n">
        <f aca="false">Допущения!$C$23</f>
        <v>5300</v>
      </c>
      <c r="J15" s="7" t="n">
        <f aca="false">Допущения!$C$23</f>
        <v>5300</v>
      </c>
      <c r="K15" s="7" t="n">
        <f aca="false">Допущения!$C$23</f>
        <v>5300</v>
      </c>
      <c r="L15" s="7" t="n">
        <f aca="false">Допущения!$C$23</f>
        <v>5300</v>
      </c>
      <c r="M15" s="7" t="n">
        <f aca="false">Допущения!$C$23</f>
        <v>5300</v>
      </c>
      <c r="N15" s="7" t="n">
        <f aca="false">Допущения!$C$23</f>
        <v>5300</v>
      </c>
      <c r="O15" s="7" t="n">
        <f aca="false">Допущения!$C$23</f>
        <v>5300</v>
      </c>
      <c r="P15" s="7" t="n">
        <f aca="false">Допущения!$C$23</f>
        <v>5300</v>
      </c>
      <c r="Q15" s="7" t="n">
        <f aca="false">Допущения!$C$23</f>
        <v>5300</v>
      </c>
      <c r="R15" s="7" t="n">
        <f aca="false">Допущения!$C$23</f>
        <v>5300</v>
      </c>
      <c r="S15" s="7" t="n">
        <f aca="false">Допущения!$C$23</f>
        <v>5300</v>
      </c>
      <c r="T15" s="7" t="n">
        <f aca="false">Допущения!$C$23</f>
        <v>5300</v>
      </c>
      <c r="U15" s="7" t="n">
        <f aca="false">Допущения!$C$23</f>
        <v>5300</v>
      </c>
      <c r="V15" s="7" t="n">
        <f aca="false">Допущения!$C$23</f>
        <v>5300</v>
      </c>
      <c r="W15" s="7" t="n">
        <f aca="false">Допущения!$C$23</f>
        <v>5300</v>
      </c>
      <c r="X15" s="7" t="n">
        <f aca="false">Допущения!$C$23</f>
        <v>5300</v>
      </c>
      <c r="Y15" s="7" t="n">
        <f aca="false">Допущения!$C$23</f>
        <v>5300</v>
      </c>
    </row>
    <row r="16" customFormat="false" ht="15" hidden="false" customHeight="false" outlineLevel="0" collapsed="false">
      <c r="A16" s="17" t="s">
        <v>131</v>
      </c>
      <c r="B16" s="7" t="n">
        <f aca="false">Допущения!$C$24+B10*Допущения!$C$28</f>
        <v>7000</v>
      </c>
      <c r="C16" s="7" t="n">
        <f aca="false">Допущения!$C$24+C10*Допущения!$C$28</f>
        <v>7000</v>
      </c>
      <c r="D16" s="7" t="n">
        <f aca="false">Допущения!$C$24+D10*Допущения!$C$28</f>
        <v>7360</v>
      </c>
      <c r="E16" s="7" t="n">
        <f aca="false">Допущения!$C$24+E10*Допущения!$C$28</f>
        <v>7774.99</v>
      </c>
      <c r="F16" s="7" t="n">
        <f aca="false">Допущения!$C$24+F10*Допущения!$C$28</f>
        <v>8150.33263</v>
      </c>
      <c r="G16" s="7" t="n">
        <f aca="false">Допущения!$C$24+G10*Допущения!$C$28</f>
        <v>8490.5717248875</v>
      </c>
      <c r="H16" s="7" t="n">
        <f aca="false">Допущения!$C$24+H10*Допущения!$C$28</f>
        <v>8799.71269688563</v>
      </c>
      <c r="I16" s="7" t="n">
        <f aca="false">Допущения!$C$24+I10*Допущения!$C$28</f>
        <v>9081.28958366875</v>
      </c>
      <c r="J16" s="7" t="n">
        <f aca="false">Допущения!$C$24+J10*Допущения!$C$28</f>
        <v>9428.42341558211</v>
      </c>
      <c r="K16" s="7" t="n">
        <f aca="false">Допущения!$C$24+K10*Допущения!$C$28</f>
        <v>9745.61556720245</v>
      </c>
      <c r="L16" s="7" t="n">
        <f aca="false">Допущения!$C$24+L10*Допущения!$C$28</f>
        <v>10036.2221531816</v>
      </c>
      <c r="M16" s="7" t="n">
        <f aca="false">Допущения!$C$24+M10*Допущения!$C$28</f>
        <v>10393.215177908</v>
      </c>
      <c r="N16" s="7" t="n">
        <f aca="false">Допущения!$C$24+N10*Допущения!$C$28</f>
        <v>10721.2190270742</v>
      </c>
      <c r="O16" s="7" t="n">
        <f aca="false">Допущения!$C$24+O10*Допущения!$C$28</f>
        <v>11023.4416511061</v>
      </c>
      <c r="P16" s="7" t="n">
        <f aca="false">Допущения!$C$24+P10*Допущения!$C$28</f>
        <v>11392.7316538513</v>
      </c>
      <c r="Q16" s="7" t="n">
        <f aca="false">Допущения!$C$24+Q10*Допущения!$C$28</f>
        <v>11733.8585487066</v>
      </c>
      <c r="R16" s="7" t="n">
        <f aca="false">Допущения!$C$24+R10*Допущения!$C$28</f>
        <v>12139.902619217</v>
      </c>
      <c r="S16" s="7" t="n">
        <f aca="false">Допущения!$C$24+S10*Допущения!$C$28</f>
        <v>12516.0091731114</v>
      </c>
      <c r="T16" s="7" t="n">
        <f aca="false">Допущения!$C$24+T10*Допущения!$C$28</f>
        <v>12955.4224071566</v>
      </c>
      <c r="U16" s="7" t="n">
        <f aca="false">Допущения!$C$24+U10*Допущения!$C$28</f>
        <v>13453.6037733656</v>
      </c>
      <c r="V16" s="7" t="n">
        <f aca="false">Допущения!$C$24+V10*Допущения!$C$28</f>
        <v>13916.5594652074</v>
      </c>
      <c r="W16" s="7" t="n">
        <f aca="false">Допущения!$C$24+W10*Допущения!$C$28</f>
        <v>14438.0472883919</v>
      </c>
      <c r="X16" s="7" t="n">
        <f aca="false">Допущения!$C$24+X10*Допущения!$C$28</f>
        <v>15014.2431798686</v>
      </c>
      <c r="Y16" s="7" t="n">
        <f aca="false">Допущения!$C$24+Y10*Допущения!$C$28</f>
        <v>15641.7858222573</v>
      </c>
      <c r="Z16" s="8" t="s">
        <v>235</v>
      </c>
    </row>
    <row r="17" customFormat="false" ht="15" hidden="false" customHeight="false" outlineLevel="0" collapsed="false">
      <c r="A17" s="17" t="s">
        <v>133</v>
      </c>
      <c r="B17" s="7" t="n">
        <f aca="false">Допущения!$C$25</f>
        <v>20000</v>
      </c>
      <c r="C17" s="7" t="n">
        <f aca="false">Допущения!$C$25</f>
        <v>20000</v>
      </c>
      <c r="D17" s="7" t="n">
        <f aca="false">Допущения!$C$25</f>
        <v>20000</v>
      </c>
      <c r="E17" s="7" t="n">
        <f aca="false">Допущения!$C$25</f>
        <v>20000</v>
      </c>
      <c r="F17" s="7" t="n">
        <f aca="false">Допущения!$C$25</f>
        <v>20000</v>
      </c>
      <c r="G17" s="7" t="n">
        <f aca="false">Допущения!$C$25</f>
        <v>20000</v>
      </c>
      <c r="H17" s="7" t="n">
        <f aca="false">Допущения!$C$25</f>
        <v>20000</v>
      </c>
      <c r="I17" s="7" t="n">
        <f aca="false">Допущения!$C$25</f>
        <v>20000</v>
      </c>
      <c r="J17" s="7" t="n">
        <f aca="false">Допущения!$C$25</f>
        <v>20000</v>
      </c>
      <c r="K17" s="7" t="n">
        <f aca="false">Допущения!$C$25</f>
        <v>20000</v>
      </c>
      <c r="L17" s="7" t="n">
        <f aca="false">Допущения!$C$25</f>
        <v>20000</v>
      </c>
      <c r="M17" s="7" t="n">
        <f aca="false">Допущения!$C$25</f>
        <v>20000</v>
      </c>
      <c r="N17" s="7" t="n">
        <f aca="false">Допущения!$C$25</f>
        <v>20000</v>
      </c>
      <c r="O17" s="7" t="n">
        <f aca="false">Допущения!$C$25</f>
        <v>20000</v>
      </c>
      <c r="P17" s="7" t="n">
        <f aca="false">Допущения!$C$25</f>
        <v>20000</v>
      </c>
      <c r="Q17" s="7" t="n">
        <f aca="false">Допущения!$C$25</f>
        <v>20000</v>
      </c>
      <c r="R17" s="7" t="n">
        <f aca="false">Допущения!$C$25</f>
        <v>20000</v>
      </c>
      <c r="S17" s="7" t="n">
        <f aca="false">Допущения!$C$25</f>
        <v>20000</v>
      </c>
      <c r="T17" s="7" t="n">
        <f aca="false">Допущения!$C$25</f>
        <v>20000</v>
      </c>
      <c r="U17" s="7" t="n">
        <f aca="false">Допущения!$C$25</f>
        <v>20000</v>
      </c>
      <c r="V17" s="7" t="n">
        <f aca="false">Допущения!$C$25</f>
        <v>20000</v>
      </c>
      <c r="W17" s="7" t="n">
        <f aca="false">Допущения!$C$25</f>
        <v>20000</v>
      </c>
      <c r="X17" s="7" t="n">
        <f aca="false">Допущения!$C$25</f>
        <v>20000</v>
      </c>
      <c r="Y17" s="7" t="n">
        <f aca="false">Допущения!$C$25</f>
        <v>20000</v>
      </c>
    </row>
    <row r="18" customFormat="false" ht="15" hidden="false" customHeight="false" outlineLevel="0" collapsed="false">
      <c r="A18" s="17" t="s">
        <v>236</v>
      </c>
      <c r="B18" s="7" t="n">
        <f aca="false">Допущения!$C$30</f>
        <v>8000</v>
      </c>
      <c r="C18" s="7" t="n">
        <f aca="false">Допущения!$C$30</f>
        <v>8000</v>
      </c>
      <c r="D18" s="7" t="n">
        <f aca="false">Допущения!$C$30</f>
        <v>8000</v>
      </c>
      <c r="E18" s="7" t="n">
        <f aca="false">Допущения!$C$30</f>
        <v>8000</v>
      </c>
      <c r="F18" s="7" t="n">
        <f aca="false">Допущения!$C$30</f>
        <v>8000</v>
      </c>
      <c r="G18" s="7" t="n">
        <f aca="false">Допущения!$C$30</f>
        <v>8000</v>
      </c>
      <c r="H18" s="7" t="n">
        <f aca="false">Допущения!$C$30</f>
        <v>8000</v>
      </c>
      <c r="I18" s="7" t="n">
        <f aca="false">Допущения!$C$30</f>
        <v>8000</v>
      </c>
      <c r="J18" s="7" t="n">
        <f aca="false">Допущения!$C$30</f>
        <v>8000</v>
      </c>
      <c r="K18" s="7" t="n">
        <f aca="false">Допущения!$C$30</f>
        <v>8000</v>
      </c>
      <c r="L18" s="7" t="n">
        <f aca="false">Допущения!$C$30</f>
        <v>8000</v>
      </c>
      <c r="M18" s="7" t="n">
        <f aca="false">Допущения!$C$30</f>
        <v>8000</v>
      </c>
      <c r="N18" s="7" t="n">
        <f aca="false">Допущения!$C$30</f>
        <v>8000</v>
      </c>
      <c r="O18" s="7" t="n">
        <f aca="false">Допущения!$C$30</f>
        <v>8000</v>
      </c>
      <c r="P18" s="7" t="n">
        <f aca="false">Допущения!$C$30</f>
        <v>8000</v>
      </c>
      <c r="Q18" s="7" t="n">
        <f aca="false">Допущения!$C$30</f>
        <v>8000</v>
      </c>
      <c r="R18" s="7" t="n">
        <f aca="false">Допущения!$C$30</f>
        <v>8000</v>
      </c>
      <c r="S18" s="7" t="n">
        <f aca="false">Допущения!$C$30</f>
        <v>8000</v>
      </c>
      <c r="T18" s="7" t="n">
        <f aca="false">Допущения!$C$30</f>
        <v>8000</v>
      </c>
      <c r="U18" s="7" t="n">
        <f aca="false">Допущения!$C$30</f>
        <v>8000</v>
      </c>
      <c r="V18" s="7" t="n">
        <f aca="false">Допущения!$C$30</f>
        <v>8000</v>
      </c>
      <c r="W18" s="7" t="n">
        <f aca="false">Допущения!$C$30</f>
        <v>8000</v>
      </c>
      <c r="X18" s="7" t="n">
        <f aca="false">Допущения!$C$30</f>
        <v>8000</v>
      </c>
      <c r="Y18" s="7" t="n">
        <f aca="false">Допущения!$C$30</f>
        <v>8000</v>
      </c>
    </row>
    <row r="19" customFormat="false" ht="15" hidden="false" customHeight="false" outlineLevel="0" collapsed="false">
      <c r="A19" s="17" t="s">
        <v>144</v>
      </c>
      <c r="B19" s="7" t="n">
        <f aca="false">Допущения!$C$31</f>
        <v>2500</v>
      </c>
      <c r="C19" s="7" t="n">
        <f aca="false">Допущения!$C$31</f>
        <v>2500</v>
      </c>
      <c r="D19" s="7" t="n">
        <f aca="false">Допущения!$C$31</f>
        <v>2500</v>
      </c>
      <c r="E19" s="7" t="n">
        <f aca="false">Допущения!$C$31</f>
        <v>2500</v>
      </c>
      <c r="F19" s="7" t="n">
        <f aca="false">Допущения!$C$31</f>
        <v>2500</v>
      </c>
      <c r="G19" s="7" t="n">
        <f aca="false">Допущения!$C$31</f>
        <v>2500</v>
      </c>
      <c r="H19" s="7" t="n">
        <f aca="false">Допущения!$C$31</f>
        <v>2500</v>
      </c>
      <c r="I19" s="7" t="n">
        <f aca="false">Допущения!$C$31</f>
        <v>2500</v>
      </c>
      <c r="J19" s="7" t="n">
        <f aca="false">Допущения!$C$31</f>
        <v>2500</v>
      </c>
      <c r="K19" s="7" t="n">
        <f aca="false">Допущения!$C$31</f>
        <v>2500</v>
      </c>
      <c r="L19" s="7" t="n">
        <f aca="false">Допущения!$C$31</f>
        <v>2500</v>
      </c>
      <c r="M19" s="7" t="n">
        <f aca="false">Допущения!$C$31</f>
        <v>2500</v>
      </c>
      <c r="N19" s="7" t="n">
        <f aca="false">Допущения!$C$31</f>
        <v>2500</v>
      </c>
      <c r="O19" s="7" t="n">
        <f aca="false">Допущения!$C$31</f>
        <v>2500</v>
      </c>
      <c r="P19" s="7" t="n">
        <f aca="false">Допущения!$C$31</f>
        <v>2500</v>
      </c>
      <c r="Q19" s="7" t="n">
        <f aca="false">Допущения!$C$31</f>
        <v>2500</v>
      </c>
      <c r="R19" s="7" t="n">
        <f aca="false">Допущения!$C$31</f>
        <v>2500</v>
      </c>
      <c r="S19" s="7" t="n">
        <f aca="false">Допущения!$C$31</f>
        <v>2500</v>
      </c>
      <c r="T19" s="7" t="n">
        <f aca="false">Допущения!$C$31</f>
        <v>2500</v>
      </c>
      <c r="U19" s="7" t="n">
        <f aca="false">Допущения!$C$31</f>
        <v>2500</v>
      </c>
      <c r="V19" s="7" t="n">
        <f aca="false">Допущения!$C$31</f>
        <v>2500</v>
      </c>
      <c r="W19" s="7" t="n">
        <f aca="false">Допущения!$C$31</f>
        <v>2500</v>
      </c>
      <c r="X19" s="7" t="n">
        <f aca="false">Допущения!$C$31</f>
        <v>2500</v>
      </c>
      <c r="Y19" s="7" t="n">
        <f aca="false">Допущения!$C$31</f>
        <v>2500</v>
      </c>
      <c r="Z19" s="8" t="s">
        <v>237</v>
      </c>
    </row>
    <row r="20" customFormat="false" ht="15" hidden="false" customHeight="false" outlineLevel="0" collapsed="false">
      <c r="A20" s="17" t="s">
        <v>238</v>
      </c>
      <c r="B20" s="7" t="n">
        <f aca="false">Допущения!$C$32</f>
        <v>12000</v>
      </c>
      <c r="C20" s="7" t="n">
        <f aca="false">Допущения!$C$32</f>
        <v>12000</v>
      </c>
      <c r="D20" s="7" t="n">
        <f aca="false">Допущения!$C$32</f>
        <v>12000</v>
      </c>
      <c r="E20" s="7" t="n">
        <f aca="false">Допущения!$C$32</f>
        <v>12000</v>
      </c>
      <c r="F20" s="7" t="n">
        <f aca="false">Допущения!$C$32</f>
        <v>12000</v>
      </c>
      <c r="G20" s="7" t="n">
        <f aca="false">Допущения!$C$32</f>
        <v>12000</v>
      </c>
      <c r="H20" s="7" t="n">
        <f aca="false">Допущения!$C$32</f>
        <v>12000</v>
      </c>
      <c r="I20" s="7" t="n">
        <f aca="false">Допущения!$C$32</f>
        <v>12000</v>
      </c>
      <c r="J20" s="7" t="n">
        <f aca="false">Допущения!$C$32</f>
        <v>12000</v>
      </c>
      <c r="K20" s="7" t="n">
        <f aca="false">Допущения!$C$32</f>
        <v>12000</v>
      </c>
      <c r="L20" s="7" t="n">
        <f aca="false">Допущения!$C$32</f>
        <v>12000</v>
      </c>
      <c r="M20" s="7" t="n">
        <f aca="false">Допущения!$C$32</f>
        <v>12000</v>
      </c>
      <c r="N20" s="7" t="n">
        <f aca="false">Допущения!$C$32</f>
        <v>12000</v>
      </c>
      <c r="O20" s="7" t="n">
        <f aca="false">Допущения!$C$32</f>
        <v>12000</v>
      </c>
      <c r="P20" s="7" t="n">
        <f aca="false">Допущения!$C$32</f>
        <v>12000</v>
      </c>
      <c r="Q20" s="7" t="n">
        <f aca="false">Допущения!$C$32</f>
        <v>12000</v>
      </c>
      <c r="R20" s="7" t="n">
        <f aca="false">Допущения!$C$32</f>
        <v>12000</v>
      </c>
      <c r="S20" s="7" t="n">
        <f aca="false">Допущения!$C$32</f>
        <v>12000</v>
      </c>
      <c r="T20" s="7" t="n">
        <f aca="false">Допущения!$C$32</f>
        <v>12000</v>
      </c>
      <c r="U20" s="7" t="n">
        <f aca="false">Допущения!$C$32</f>
        <v>12000</v>
      </c>
      <c r="V20" s="7" t="n">
        <f aca="false">Допущения!$C$32</f>
        <v>12000</v>
      </c>
      <c r="W20" s="7" t="n">
        <f aca="false">Допущения!$C$32</f>
        <v>12000</v>
      </c>
      <c r="X20" s="7" t="n">
        <f aca="false">Допущения!$C$32</f>
        <v>12000</v>
      </c>
      <c r="Y20" s="7" t="n">
        <f aca="false">Допущения!$C$32</f>
        <v>12000</v>
      </c>
    </row>
    <row r="21" customFormat="false" ht="15" hidden="false" customHeight="false" outlineLevel="0" collapsed="false">
      <c r="A21" s="17" t="s">
        <v>239</v>
      </c>
      <c r="B21" s="7" t="n">
        <f aca="false">Допущения!$C$26</f>
        <v>3000</v>
      </c>
      <c r="C21" s="7" t="n">
        <f aca="false">Допущения!$C$26</f>
        <v>3000</v>
      </c>
      <c r="D21" s="7" t="n">
        <f aca="false">Допущения!$C$26</f>
        <v>3000</v>
      </c>
      <c r="E21" s="7" t="n">
        <f aca="false">Допущения!$C$26</f>
        <v>3000</v>
      </c>
      <c r="F21" s="7" t="n">
        <f aca="false">Допущения!$C$26</f>
        <v>3000</v>
      </c>
      <c r="G21" s="7" t="n">
        <f aca="false">Допущения!$C$26</f>
        <v>3000</v>
      </c>
      <c r="H21" s="7" t="n">
        <f aca="false">Допущения!$C$26</f>
        <v>3000</v>
      </c>
      <c r="I21" s="7" t="n">
        <f aca="false">Допущения!$C$26</f>
        <v>3000</v>
      </c>
      <c r="J21" s="7" t="n">
        <f aca="false">Допущения!$C$26</f>
        <v>3000</v>
      </c>
      <c r="K21" s="7" t="n">
        <f aca="false">Допущения!$C$26</f>
        <v>3000</v>
      </c>
      <c r="L21" s="7" t="n">
        <f aca="false">Допущения!$C$26</f>
        <v>3000</v>
      </c>
      <c r="M21" s="7" t="n">
        <f aca="false">Допущения!$C$26</f>
        <v>3000</v>
      </c>
      <c r="N21" s="7" t="n">
        <f aca="false">Допущения!$C$26</f>
        <v>3000</v>
      </c>
      <c r="O21" s="7" t="n">
        <f aca="false">Допущения!$C$26</f>
        <v>3000</v>
      </c>
      <c r="P21" s="7" t="n">
        <f aca="false">Допущения!$C$26</f>
        <v>3000</v>
      </c>
      <c r="Q21" s="7" t="n">
        <f aca="false">Допущения!$C$26</f>
        <v>3000</v>
      </c>
      <c r="R21" s="7" t="n">
        <f aca="false">Допущения!$C$26</f>
        <v>3000</v>
      </c>
      <c r="S21" s="7" t="n">
        <f aca="false">Допущения!$C$26</f>
        <v>3000</v>
      </c>
      <c r="T21" s="7" t="n">
        <f aca="false">Допущения!$C$26</f>
        <v>3000</v>
      </c>
      <c r="U21" s="7" t="n">
        <f aca="false">Допущения!$C$26</f>
        <v>3000</v>
      </c>
      <c r="V21" s="7" t="n">
        <f aca="false">Допущения!$C$26</f>
        <v>3000</v>
      </c>
      <c r="W21" s="7" t="n">
        <f aca="false">Допущения!$C$26</f>
        <v>3000</v>
      </c>
      <c r="X21" s="7" t="n">
        <f aca="false">Допущения!$C$26</f>
        <v>3000</v>
      </c>
      <c r="Y21" s="7" t="n">
        <f aca="false">Допущения!$C$26</f>
        <v>3000</v>
      </c>
    </row>
    <row r="22" customFormat="false" ht="15" hidden="false" customHeight="false" outlineLevel="0" collapsed="false">
      <c r="A22" s="17" t="s">
        <v>137</v>
      </c>
      <c r="B22" s="7" t="n">
        <f aca="false">Допущения!$C$27</f>
        <v>1908</v>
      </c>
      <c r="C22" s="7" t="n">
        <f aca="false">Допущения!$C$27</f>
        <v>1908</v>
      </c>
      <c r="D22" s="7" t="n">
        <f aca="false">Допущения!$C$27</f>
        <v>1908</v>
      </c>
      <c r="E22" s="7" t="n">
        <f aca="false">Допущения!$C$27</f>
        <v>1908</v>
      </c>
      <c r="F22" s="7" t="n">
        <f aca="false">Допущения!$C$27</f>
        <v>1908</v>
      </c>
      <c r="G22" s="7" t="n">
        <f aca="false">Допущения!$C$27</f>
        <v>1908</v>
      </c>
      <c r="H22" s="7" t="n">
        <f aca="false">Допущения!$C$27</f>
        <v>1908</v>
      </c>
      <c r="I22" s="7" t="n">
        <f aca="false">Допущения!$C$27</f>
        <v>1908</v>
      </c>
      <c r="J22" s="7" t="n">
        <f aca="false">Допущения!$C$27</f>
        <v>1908</v>
      </c>
      <c r="K22" s="7" t="n">
        <f aca="false">Допущения!$C$27</f>
        <v>1908</v>
      </c>
      <c r="L22" s="7" t="n">
        <f aca="false">Допущения!$C$27</f>
        <v>1908</v>
      </c>
      <c r="M22" s="7" t="n">
        <f aca="false">Допущения!$C$27</f>
        <v>1908</v>
      </c>
      <c r="N22" s="7" t="n">
        <f aca="false">Допущения!$C$27</f>
        <v>1908</v>
      </c>
      <c r="O22" s="7" t="n">
        <f aca="false">Допущения!$C$27</f>
        <v>1908</v>
      </c>
      <c r="P22" s="7" t="n">
        <f aca="false">Допущения!$C$27</f>
        <v>1908</v>
      </c>
      <c r="Q22" s="7" t="n">
        <f aca="false">Допущения!$C$27</f>
        <v>1908</v>
      </c>
      <c r="R22" s="7" t="n">
        <f aca="false">Допущения!$C$27</f>
        <v>1908</v>
      </c>
      <c r="S22" s="7" t="n">
        <f aca="false">Допущения!$C$27</f>
        <v>1908</v>
      </c>
      <c r="T22" s="7" t="n">
        <f aca="false">Допущения!$C$27</f>
        <v>1908</v>
      </c>
      <c r="U22" s="7" t="n">
        <f aca="false">Допущения!$C$27</f>
        <v>1908</v>
      </c>
      <c r="V22" s="7" t="n">
        <f aca="false">Допущения!$C$27</f>
        <v>1908</v>
      </c>
      <c r="W22" s="7" t="n">
        <f aca="false">Допущения!$C$27</f>
        <v>1908</v>
      </c>
      <c r="X22" s="7" t="n">
        <f aca="false">Допущения!$C$27</f>
        <v>1908</v>
      </c>
      <c r="Y22" s="7" t="n">
        <f aca="false">Допущения!$C$27</f>
        <v>1908</v>
      </c>
    </row>
    <row r="23" customFormat="false" ht="15" hidden="false" customHeight="false" outlineLevel="0" collapsed="false">
      <c r="A23" s="17" t="s">
        <v>240</v>
      </c>
      <c r="B23" s="7" t="n">
        <f aca="false">Допущения!$C$33</f>
        <v>10000</v>
      </c>
      <c r="C23" s="7" t="n">
        <f aca="false">Допущения!$C$33</f>
        <v>10000</v>
      </c>
      <c r="D23" s="7" t="n">
        <f aca="false">Допущения!$C$33</f>
        <v>10000</v>
      </c>
      <c r="E23" s="7" t="n">
        <f aca="false">Допущения!$C$33</f>
        <v>10000</v>
      </c>
      <c r="F23" s="7" t="n">
        <f aca="false">Допущения!$C$33</f>
        <v>10000</v>
      </c>
      <c r="G23" s="7" t="n">
        <f aca="false">Допущения!$C$33</f>
        <v>10000</v>
      </c>
      <c r="H23" s="7" t="n">
        <f aca="false">Допущения!$C$33</f>
        <v>10000</v>
      </c>
      <c r="I23" s="7" t="n">
        <f aca="false">Допущения!$C$33</f>
        <v>10000</v>
      </c>
      <c r="J23" s="7" t="n">
        <f aca="false">Допущения!$C$33</f>
        <v>10000</v>
      </c>
      <c r="K23" s="7" t="n">
        <f aca="false">Допущения!$C$33</f>
        <v>10000</v>
      </c>
      <c r="L23" s="7" t="n">
        <f aca="false">Допущения!$C$33</f>
        <v>10000</v>
      </c>
      <c r="M23" s="7" t="n">
        <f aca="false">Допущения!$C$33</f>
        <v>10000</v>
      </c>
      <c r="N23" s="7" t="n">
        <f aca="false">Допущения!$C$33</f>
        <v>10000</v>
      </c>
      <c r="O23" s="7" t="n">
        <f aca="false">Допущения!$C$33</f>
        <v>10000</v>
      </c>
      <c r="P23" s="7" t="n">
        <f aca="false">Допущения!$C$33</f>
        <v>10000</v>
      </c>
      <c r="Q23" s="7" t="n">
        <f aca="false">Допущения!$C$33</f>
        <v>10000</v>
      </c>
      <c r="R23" s="7" t="n">
        <f aca="false">Допущения!$C$33</f>
        <v>10000</v>
      </c>
      <c r="S23" s="7" t="n">
        <f aca="false">Допущения!$C$33</f>
        <v>10000</v>
      </c>
      <c r="T23" s="7" t="n">
        <f aca="false">Допущения!$C$33</f>
        <v>10000</v>
      </c>
      <c r="U23" s="7" t="n">
        <f aca="false">Допущения!$C$33</f>
        <v>10000</v>
      </c>
      <c r="V23" s="7" t="n">
        <f aca="false">Допущения!$C$33</f>
        <v>10000</v>
      </c>
      <c r="W23" s="7" t="n">
        <f aca="false">Допущения!$C$33</f>
        <v>10000</v>
      </c>
      <c r="X23" s="7" t="n">
        <f aca="false">Допущения!$C$33</f>
        <v>10000</v>
      </c>
      <c r="Y23" s="7" t="n">
        <f aca="false">Допущения!$C$33</f>
        <v>10000</v>
      </c>
    </row>
    <row r="24" customFormat="false" ht="15" hidden="false" customHeight="false" outlineLevel="0" collapsed="false">
      <c r="A24" s="17" t="s">
        <v>150</v>
      </c>
      <c r="B24" s="7" t="n">
        <f aca="false">Допущения!$C$34</f>
        <v>30000</v>
      </c>
      <c r="C24" s="7" t="n">
        <f aca="false">Допущения!$C$34</f>
        <v>30000</v>
      </c>
      <c r="D24" s="7" t="n">
        <f aca="false">Допущения!$C$34</f>
        <v>30000</v>
      </c>
      <c r="E24" s="7" t="n">
        <f aca="false">Допущения!$C$34</f>
        <v>30000</v>
      </c>
      <c r="F24" s="7" t="n">
        <f aca="false">Допущения!$C$34</f>
        <v>30000</v>
      </c>
      <c r="G24" s="7" t="n">
        <f aca="false">Допущения!$C$34</f>
        <v>30000</v>
      </c>
      <c r="H24" s="7" t="n">
        <f aca="false">Допущения!$C$34</f>
        <v>30000</v>
      </c>
      <c r="I24" s="7" t="n">
        <f aca="false">Допущения!$C$34</f>
        <v>30000</v>
      </c>
      <c r="J24" s="7" t="n">
        <f aca="false">Допущения!$C$34</f>
        <v>30000</v>
      </c>
      <c r="K24" s="7" t="n">
        <f aca="false">Допущения!$C$34</f>
        <v>30000</v>
      </c>
      <c r="L24" s="7" t="n">
        <f aca="false">Допущения!$C$34</f>
        <v>30000</v>
      </c>
      <c r="M24" s="7" t="n">
        <f aca="false">Допущения!$C$34</f>
        <v>30000</v>
      </c>
      <c r="N24" s="7" t="n">
        <f aca="false">Допущения!$C$34</f>
        <v>30000</v>
      </c>
      <c r="O24" s="7" t="n">
        <f aca="false">Допущения!$C$34</f>
        <v>30000</v>
      </c>
      <c r="P24" s="7" t="n">
        <f aca="false">Допущения!$C$34</f>
        <v>30000</v>
      </c>
      <c r="Q24" s="7" t="n">
        <f aca="false">Допущения!$C$34</f>
        <v>30000</v>
      </c>
      <c r="R24" s="7" t="n">
        <f aca="false">Допущения!$C$34</f>
        <v>30000</v>
      </c>
      <c r="S24" s="7" t="n">
        <f aca="false">Допущения!$C$34</f>
        <v>30000</v>
      </c>
      <c r="T24" s="7" t="n">
        <f aca="false">Допущения!$C$34</f>
        <v>30000</v>
      </c>
      <c r="U24" s="7" t="n">
        <f aca="false">Допущения!$C$34</f>
        <v>30000</v>
      </c>
      <c r="V24" s="7" t="n">
        <f aca="false">Допущения!$C$34</f>
        <v>30000</v>
      </c>
      <c r="W24" s="7" t="n">
        <f aca="false">Допущения!$C$34</f>
        <v>30000</v>
      </c>
      <c r="X24" s="7" t="n">
        <f aca="false">Допущения!$C$34</f>
        <v>30000</v>
      </c>
      <c r="Y24" s="7" t="n">
        <f aca="false">Допущения!$C$34</f>
        <v>30000</v>
      </c>
    </row>
    <row r="25" customFormat="false" ht="15" hidden="false" customHeight="false" outlineLevel="0" collapsed="false">
      <c r="A25" s="17" t="s">
        <v>241</v>
      </c>
      <c r="B25" s="7" t="n">
        <f aca="false">Допущения!$C$35</f>
        <v>8000</v>
      </c>
      <c r="C25" s="7" t="n">
        <f aca="false">Допущения!$C$35</f>
        <v>8000</v>
      </c>
      <c r="D25" s="7" t="n">
        <f aca="false">Допущения!$C$35</f>
        <v>8000</v>
      </c>
      <c r="E25" s="7" t="n">
        <f aca="false">Допущения!$C$35</f>
        <v>8000</v>
      </c>
      <c r="F25" s="7" t="n">
        <f aca="false">Допущения!$C$35</f>
        <v>8000</v>
      </c>
      <c r="G25" s="7" t="n">
        <f aca="false">Допущения!$C$35</f>
        <v>8000</v>
      </c>
      <c r="H25" s="7" t="n">
        <f aca="false">Допущения!$C$35</f>
        <v>8000</v>
      </c>
      <c r="I25" s="7" t="n">
        <f aca="false">Допущения!$C$35</f>
        <v>8000</v>
      </c>
      <c r="J25" s="7" t="n">
        <f aca="false">Допущения!$C$35</f>
        <v>8000</v>
      </c>
      <c r="K25" s="7" t="n">
        <f aca="false">Допущения!$C$35</f>
        <v>8000</v>
      </c>
      <c r="L25" s="7" t="n">
        <f aca="false">Допущения!$C$35</f>
        <v>8000</v>
      </c>
      <c r="M25" s="7" t="n">
        <f aca="false">Допущения!$C$35</f>
        <v>8000</v>
      </c>
      <c r="N25" s="7" t="n">
        <f aca="false">Допущения!$C$35</f>
        <v>8000</v>
      </c>
      <c r="O25" s="7" t="n">
        <f aca="false">Допущения!$C$35</f>
        <v>8000</v>
      </c>
      <c r="P25" s="7" t="n">
        <f aca="false">Допущения!$C$35</f>
        <v>8000</v>
      </c>
      <c r="Q25" s="7" t="n">
        <f aca="false">Допущения!$C$35</f>
        <v>8000</v>
      </c>
      <c r="R25" s="7" t="n">
        <f aca="false">Допущения!$C$35</f>
        <v>8000</v>
      </c>
      <c r="S25" s="7" t="n">
        <f aca="false">Допущения!$C$35</f>
        <v>8000</v>
      </c>
      <c r="T25" s="7" t="n">
        <f aca="false">Допущения!$C$35</f>
        <v>8000</v>
      </c>
      <c r="U25" s="7" t="n">
        <f aca="false">Допущения!$C$35</f>
        <v>8000</v>
      </c>
      <c r="V25" s="7" t="n">
        <f aca="false">Допущения!$C$35</f>
        <v>8000</v>
      </c>
      <c r="W25" s="7" t="n">
        <f aca="false">Допущения!$C$35</f>
        <v>8000</v>
      </c>
      <c r="X25" s="7" t="n">
        <f aca="false">Допущения!$C$35</f>
        <v>8000</v>
      </c>
      <c r="Y25" s="7" t="n">
        <f aca="false">Допущения!$C$35</f>
        <v>8000</v>
      </c>
    </row>
    <row r="26" customFormat="false" ht="15" hidden="false" customHeight="false" outlineLevel="0" collapsed="false">
      <c r="A26" s="17" t="s">
        <v>180</v>
      </c>
      <c r="B26" s="7" t="n">
        <f aca="false">B13*Допущения!$C$50</f>
        <v>0</v>
      </c>
      <c r="C26" s="7" t="n">
        <f aca="false">C13*Допущения!$C$50</f>
        <v>0</v>
      </c>
      <c r="D26" s="7" t="n">
        <f aca="false">D13*Допущения!$C$50</f>
        <v>138.402</v>
      </c>
      <c r="E26" s="7" t="n">
        <f aca="false">E13*Допущения!$C$50</f>
        <v>292.008902625</v>
      </c>
      <c r="F26" s="7" t="n">
        <f aca="false">F13*Допущения!$C$50</f>
        <v>427.2024304295</v>
      </c>
      <c r="G26" s="7" t="n">
        <f aca="false">G13*Допущения!$C$50</f>
        <v>550.521811323054</v>
      </c>
      <c r="H26" s="7" t="n">
        <f aca="false">H13*Допущения!$C$50</f>
        <v>663.329809064179</v>
      </c>
      <c r="I26" s="7" t="n">
        <f aca="false">I13*Допущения!$C$50</f>
        <v>766.827219788323</v>
      </c>
      <c r="J26" s="7" t="n">
        <f aca="false">J13*Допущения!$C$50</f>
        <v>911.375086032583</v>
      </c>
      <c r="K26" s="7" t="n">
        <f aca="false">K13*Допущения!$C$50</f>
        <v>1028.35865654063</v>
      </c>
      <c r="L26" s="7" t="n">
        <f aca="false">L13*Допущения!$C$50</f>
        <v>1136.38319052763</v>
      </c>
      <c r="M26" s="7" t="n">
        <f aca="false">M13*Допущения!$C$50</f>
        <v>1293.10592786882</v>
      </c>
      <c r="N26" s="7" t="n">
        <f aca="false">N13*Допущения!$C$50</f>
        <v>1415.12140382068</v>
      </c>
      <c r="O26" s="7" t="n">
        <f aca="false">O13*Допущения!$C$50</f>
        <v>1528.46731271004</v>
      </c>
      <c r="P26" s="7" t="n">
        <f aca="false">P13*Допущения!$C$50</f>
        <v>1698.10608151417</v>
      </c>
      <c r="Q26" s="7" t="n">
        <f aca="false">Q13*Допущения!$C$50</f>
        <v>1825.8485157986</v>
      </c>
      <c r="R26" s="7" t="n">
        <f aca="false">R13*Допущения!$C$50</f>
        <v>2014.07598321326</v>
      </c>
      <c r="S26" s="7" t="n">
        <f aca="false">S13*Допущения!$C$50</f>
        <v>2154.8368568389</v>
      </c>
      <c r="T26" s="7" t="n">
        <f aca="false">T13*Допущения!$C$50</f>
        <v>2360.45643601674</v>
      </c>
      <c r="U26" s="7" t="n">
        <f aca="false">U13*Допущения!$C$50</f>
        <v>2589.45472406495</v>
      </c>
      <c r="V26" s="7" t="n">
        <f aca="false">V13*Допущения!$C$50</f>
        <v>2761.76014891094</v>
      </c>
      <c r="W26" s="7" t="n">
        <f aca="false">W13*Допущения!$C$50</f>
        <v>3004.70277950348</v>
      </c>
      <c r="X26" s="7" t="n">
        <f aca="false">X13*Допущения!$C$50</f>
        <v>3269.55768541994</v>
      </c>
      <c r="Y26" s="7" t="n">
        <f aca="false">Y13*Допущения!$C$50</f>
        <v>3555.17186324766</v>
      </c>
    </row>
    <row r="27" customFormat="false" ht="15" hidden="false" customHeight="false" outlineLevel="0" collapsed="false">
      <c r="A27" s="17" t="s">
        <v>242</v>
      </c>
      <c r="B27" s="7" t="n">
        <f aca="false">B12*Допущения!$C$13</f>
        <v>0</v>
      </c>
      <c r="C27" s="7" t="n">
        <f aca="false">C12*Допущения!$C$13</f>
        <v>0</v>
      </c>
      <c r="D27" s="7" t="n">
        <f aca="false">D12*Допущения!$C$13</f>
        <v>78.958</v>
      </c>
      <c r="E27" s="7" t="n">
        <f aca="false">E12*Допущения!$C$13</f>
        <v>169.71635175</v>
      </c>
      <c r="F27" s="7" t="n">
        <f aca="false">F12*Допущения!$C$13</f>
        <v>251.526620286333</v>
      </c>
      <c r="G27" s="7" t="n">
        <f aca="false">G12*Допущения!$C$13</f>
        <v>325.420790882036</v>
      </c>
      <c r="H27" s="7" t="n">
        <f aca="false">H12*Допущения!$C$13</f>
        <v>392.307372709453</v>
      </c>
      <c r="I27" s="7" t="n">
        <f aca="false">I12*Допущения!$C$13</f>
        <v>452.986896525549</v>
      </c>
      <c r="J27" s="7" t="n">
        <f aca="false">J12*Допущения!$C$13</f>
        <v>527.723390688389</v>
      </c>
      <c r="K27" s="7" t="n">
        <f aca="false">K12*Допущения!$C$13</f>
        <v>595.729937693753</v>
      </c>
      <c r="L27" s="7" t="n">
        <f aca="false">L12*Допущения!$C$13</f>
        <v>657.763793685084</v>
      </c>
      <c r="M27" s="7" t="n">
        <f aca="false">M12*Допущения!$C$13</f>
        <v>733.961868579214</v>
      </c>
      <c r="N27" s="7" t="n">
        <f aca="false">N12*Допущения!$C$13</f>
        <v>803.659269213787</v>
      </c>
      <c r="O27" s="7" t="n">
        <f aca="false">O12*Допущения!$C$13</f>
        <v>867.576958473362</v>
      </c>
      <c r="P27" s="7" t="n">
        <f aca="false">P12*Допущения!$C$13</f>
        <v>945.730721009445</v>
      </c>
      <c r="Q27" s="7" t="n">
        <f aca="false">Q12*Допущения!$C$13</f>
        <v>1017.58234386573</v>
      </c>
      <c r="R27" s="7" t="n">
        <f aca="false">R12*Допущения!$C$13</f>
        <v>1103.13732214217</v>
      </c>
      <c r="S27" s="7" t="n">
        <f aca="false">S12*Допущения!$C$13</f>
        <v>1182.00415455927</v>
      </c>
      <c r="T27" s="7" t="n">
        <f aca="false">T12*Допущения!$C$13</f>
        <v>1274.16262401116</v>
      </c>
      <c r="U27" s="7" t="n">
        <f aca="false">U12*Допущения!$C$13</f>
        <v>1378.57939937664</v>
      </c>
      <c r="V27" s="7" t="n">
        <f aca="false">V12*Допущения!$C$13</f>
        <v>1475.14843260729</v>
      </c>
      <c r="W27" s="7" t="n">
        <f aca="false">W12*Допущения!$C$13</f>
        <v>1583.87018633566</v>
      </c>
      <c r="X27" s="7" t="n">
        <f aca="false">X12*Допущения!$C$13</f>
        <v>1703.87262361329</v>
      </c>
      <c r="Y27" s="7" t="n">
        <f aca="false">Y12*Допущения!$C$13</f>
        <v>1834.38707549844</v>
      </c>
      <c r="Z27" s="8" t="s">
        <v>243</v>
      </c>
    </row>
    <row r="28" customFormat="false" ht="15" hidden="false" customHeight="false" outlineLevel="0" collapsed="false">
      <c r="A28" s="17" t="s">
        <v>244</v>
      </c>
      <c r="B28" s="7" t="n">
        <f aca="false">Допущения!$C$37</f>
        <v>0</v>
      </c>
      <c r="C28" s="7" t="n">
        <f aca="false">Допущения!$C$37</f>
        <v>0</v>
      </c>
      <c r="D28" s="7" t="n">
        <f aca="false">Допущения!$C$37</f>
        <v>0</v>
      </c>
      <c r="E28" s="7" t="n">
        <f aca="false">Допущения!$C$37</f>
        <v>0</v>
      </c>
      <c r="F28" s="7" t="n">
        <f aca="false">Допущения!$C$37</f>
        <v>0</v>
      </c>
      <c r="G28" s="7" t="n">
        <f aca="false">Допущения!$C$37</f>
        <v>0</v>
      </c>
      <c r="H28" s="7" t="n">
        <f aca="false">Допущения!$C$37</f>
        <v>0</v>
      </c>
      <c r="I28" s="7" t="n">
        <f aca="false">Допущения!$C$37</f>
        <v>0</v>
      </c>
      <c r="J28" s="7" t="n">
        <f aca="false">Допущения!$C$37</f>
        <v>0</v>
      </c>
      <c r="K28" s="7" t="n">
        <f aca="false">Допущения!$C$37</f>
        <v>0</v>
      </c>
      <c r="L28" s="7" t="n">
        <f aca="false">Допущения!$C$37</f>
        <v>0</v>
      </c>
      <c r="M28" s="7" t="n">
        <f aca="false">Допущения!$C$37</f>
        <v>0</v>
      </c>
      <c r="N28" s="7" t="n">
        <f aca="false">Допущения!$C$37</f>
        <v>0</v>
      </c>
      <c r="O28" s="7" t="n">
        <f aca="false">Допущения!$C$37</f>
        <v>0</v>
      </c>
      <c r="P28" s="7" t="n">
        <f aca="false">Допущения!$C$37</f>
        <v>0</v>
      </c>
      <c r="Q28" s="7" t="n">
        <f aca="false">Допущения!$C$37</f>
        <v>0</v>
      </c>
      <c r="R28" s="7" t="n">
        <f aca="false">Допущения!$C$37</f>
        <v>0</v>
      </c>
      <c r="S28" s="7" t="n">
        <f aca="false">Допущения!$C$37</f>
        <v>0</v>
      </c>
      <c r="T28" s="7" t="n">
        <f aca="false">Допущения!$C$37</f>
        <v>0</v>
      </c>
      <c r="U28" s="7" t="n">
        <f aca="false">Допущения!$C$37</f>
        <v>0</v>
      </c>
      <c r="V28" s="7" t="n">
        <f aca="false">Допущения!$C$37</f>
        <v>0</v>
      </c>
      <c r="W28" s="7" t="n">
        <f aca="false">Допущения!$C$37</f>
        <v>0</v>
      </c>
      <c r="X28" s="7" t="n">
        <f aca="false">Допущения!$C$37</f>
        <v>0</v>
      </c>
      <c r="Y28" s="7" t="n">
        <f aca="false">Допущения!$C$37</f>
        <v>0</v>
      </c>
    </row>
    <row r="29" customFormat="false" ht="15" hidden="false" customHeight="false" outlineLevel="0" collapsed="false">
      <c r="A29" s="17" t="s">
        <v>245</v>
      </c>
      <c r="B29" s="7" t="n">
        <f aca="false">Допущения!$C$38</f>
        <v>0</v>
      </c>
      <c r="C29" s="7" t="n">
        <f aca="false">Допущения!$C$38</f>
        <v>0</v>
      </c>
      <c r="D29" s="7" t="n">
        <f aca="false">Допущения!$C$38</f>
        <v>0</v>
      </c>
      <c r="E29" s="7" t="n">
        <f aca="false">Допущения!$C$38</f>
        <v>0</v>
      </c>
      <c r="F29" s="7" t="n">
        <f aca="false">Допущения!$C$38</f>
        <v>0</v>
      </c>
      <c r="G29" s="7" t="n">
        <f aca="false">Допущения!$C$38</f>
        <v>0</v>
      </c>
      <c r="H29" s="7" t="n">
        <f aca="false">Допущения!$C$38</f>
        <v>0</v>
      </c>
      <c r="I29" s="7" t="n">
        <f aca="false">Допущения!$C$38</f>
        <v>0</v>
      </c>
      <c r="J29" s="7" t="n">
        <f aca="false">Допущения!$C$38</f>
        <v>0</v>
      </c>
      <c r="K29" s="7" t="n">
        <f aca="false">Допущения!$C$38</f>
        <v>0</v>
      </c>
      <c r="L29" s="7" t="n">
        <f aca="false">Допущения!$C$38</f>
        <v>0</v>
      </c>
      <c r="M29" s="7" t="n">
        <f aca="false">Допущения!$C$38</f>
        <v>0</v>
      </c>
      <c r="N29" s="7" t="n">
        <f aca="false">Допущения!$C$38</f>
        <v>0</v>
      </c>
      <c r="O29" s="7" t="n">
        <f aca="false">Допущения!$C$38</f>
        <v>0</v>
      </c>
      <c r="P29" s="7" t="n">
        <f aca="false">Допущения!$C$38</f>
        <v>0</v>
      </c>
      <c r="Q29" s="7" t="n">
        <f aca="false">Допущения!$C$38</f>
        <v>0</v>
      </c>
      <c r="R29" s="7" t="n">
        <f aca="false">Допущения!$C$38</f>
        <v>0</v>
      </c>
      <c r="S29" s="7" t="n">
        <f aca="false">Допущения!$C$38</f>
        <v>0</v>
      </c>
      <c r="T29" s="7" t="n">
        <f aca="false">Допущения!$C$38</f>
        <v>0</v>
      </c>
      <c r="U29" s="7" t="n">
        <f aca="false">Допущения!$C$38</f>
        <v>0</v>
      </c>
      <c r="V29" s="7" t="n">
        <f aca="false">Допущения!$C$38</f>
        <v>0</v>
      </c>
      <c r="W29" s="7" t="n">
        <f aca="false">Допущения!$C$38</f>
        <v>0</v>
      </c>
      <c r="X29" s="7" t="n">
        <f aca="false">Допущения!$C$38</f>
        <v>0</v>
      </c>
      <c r="Y29" s="7" t="n">
        <f aca="false">Допущения!$C$38</f>
        <v>0</v>
      </c>
    </row>
    <row r="30" customFormat="false" ht="32.8" hidden="false" customHeight="false" outlineLevel="0" collapsed="false">
      <c r="A30" s="17" t="s">
        <v>246</v>
      </c>
      <c r="B30" s="7" t="n">
        <f aca="false">IF(1&lt;=Допущения!$C$39,0,IF(1&lt;=Допущения!$C$41,Допущения!$C$40,Допущения!$C$42))</f>
        <v>0</v>
      </c>
      <c r="C30" s="7" t="n">
        <f aca="false">IF(2&lt;=Допущения!$C$39,0,IF(2&lt;=Допущения!$C$41,Допущения!$C$40,Допущения!$C$42))</f>
        <v>0</v>
      </c>
      <c r="D30" s="7" t="n">
        <f aca="false">IF(3&lt;=Допущения!$C$39,0,IF(3&lt;=Допущения!$C$41,Допущения!$C$40,Допущения!$C$42))</f>
        <v>0</v>
      </c>
      <c r="E30" s="7" t="n">
        <f aca="false">IF(4&lt;=Допущения!$C$39,0,IF(4&lt;=Допущения!$C$41,Допущения!$C$40,Допущения!$C$42))</f>
        <v>50000</v>
      </c>
      <c r="F30" s="7" t="n">
        <f aca="false">IF(5&lt;=Допущения!$C$39,0,IF(5&lt;=Допущения!$C$41,Допущения!$C$40,Допущения!$C$42))</f>
        <v>50000</v>
      </c>
      <c r="G30" s="7" t="n">
        <f aca="false">IF(6&lt;=Допущения!$C$39,0,IF(6&lt;=Допущения!$C$41,Допущения!$C$40,Допущения!$C$42))</f>
        <v>50000</v>
      </c>
      <c r="H30" s="7" t="n">
        <f aca="false">IF(7&lt;=Допущения!$C$39,0,IF(7&lt;=Допущения!$C$41,Допущения!$C$40,Допущения!$C$42))</f>
        <v>50000</v>
      </c>
      <c r="I30" s="7" t="n">
        <f aca="false">IF(8&lt;=Допущения!$C$39,0,IF(8&lt;=Допущения!$C$41,Допущения!$C$40,Допущения!$C$42))</f>
        <v>50000</v>
      </c>
      <c r="J30" s="7" t="n">
        <f aca="false">IF(9&lt;=Допущения!$C$39,0,IF(9&lt;=Допущения!$C$41,Допущения!$C$40,Допущения!$C$42))</f>
        <v>50000</v>
      </c>
      <c r="K30" s="7" t="n">
        <f aca="false">IF(10&lt;=Допущения!$C$39,0,IF(10&lt;=Допущения!$C$41,Допущения!$C$40,Допущения!$C$42))</f>
        <v>50000</v>
      </c>
      <c r="L30" s="7" t="n">
        <f aca="false">IF(11&lt;=Допущения!$C$39,0,IF(11&lt;=Допущения!$C$41,Допущения!$C$40,Допущения!$C$42))</f>
        <v>50000</v>
      </c>
      <c r="M30" s="7" t="n">
        <f aca="false">IF(12&lt;=Допущения!$C$39,0,IF(12&lt;=Допущения!$C$41,Допущения!$C$40,Допущения!$C$42))</f>
        <v>50000</v>
      </c>
      <c r="N30" s="7" t="n">
        <f aca="false">IF(13&lt;=Допущения!$C$39,0,IF(13&lt;=Допущения!$C$41,Допущения!$C$40,Допущения!$C$42))</f>
        <v>100000</v>
      </c>
      <c r="O30" s="7" t="n">
        <f aca="false">IF(14&lt;=Допущения!$C$39,0,IF(14&lt;=Допущения!$C$41,Допущения!$C$40,Допущения!$C$42))</f>
        <v>100000</v>
      </c>
      <c r="P30" s="7" t="n">
        <f aca="false">IF(15&lt;=Допущения!$C$39,0,IF(15&lt;=Допущения!$C$41,Допущения!$C$40,Допущения!$C$42))</f>
        <v>100000</v>
      </c>
      <c r="Q30" s="7" t="n">
        <f aca="false">IF(16&lt;=Допущения!$C$39,0,IF(16&lt;=Допущения!$C$41,Допущения!$C$40,Допущения!$C$42))</f>
        <v>100000</v>
      </c>
      <c r="R30" s="7" t="n">
        <f aca="false">IF(17&lt;=Допущения!$C$39,0,IF(17&lt;=Допущения!$C$41,Допущения!$C$40,Допущения!$C$42))</f>
        <v>100000</v>
      </c>
      <c r="S30" s="7" t="n">
        <f aca="false">IF(18&lt;=Допущения!$C$39,0,IF(18&lt;=Допущения!$C$41,Допущения!$C$40,Допущения!$C$42))</f>
        <v>100000</v>
      </c>
      <c r="T30" s="7" t="n">
        <f aca="false">IF(19&lt;=Допущения!$C$39,0,IF(19&lt;=Допущения!$C$41,Допущения!$C$40,Допущения!$C$42))</f>
        <v>100000</v>
      </c>
      <c r="U30" s="7" t="n">
        <f aca="false">IF(20&lt;=Допущения!$C$39,0,IF(20&lt;=Допущения!$C$41,Допущения!$C$40,Допущения!$C$42))</f>
        <v>100000</v>
      </c>
      <c r="V30" s="7" t="n">
        <f aca="false">IF(21&lt;=Допущения!$C$39,0,IF(21&lt;=Допущения!$C$41,Допущения!$C$40,Допущения!$C$42))</f>
        <v>100000</v>
      </c>
      <c r="W30" s="7" t="n">
        <f aca="false">IF(22&lt;=Допущения!$C$39,0,IF(22&lt;=Допущения!$C$41,Допущения!$C$40,Допущения!$C$42))</f>
        <v>100000</v>
      </c>
      <c r="X30" s="7" t="n">
        <f aca="false">IF(23&lt;=Допущения!$C$39,0,IF(23&lt;=Допущения!$C$41,Допущения!$C$40,Допущения!$C$42))</f>
        <v>100000</v>
      </c>
      <c r="Y30" s="7" t="n">
        <f aca="false">IF(24&lt;=Допущения!$C$39,0,IF(24&lt;=Допущения!$C$41,Допущения!$C$40,Допущения!$C$42))</f>
        <v>100000</v>
      </c>
      <c r="Z30" s="8" t="s">
        <v>247</v>
      </c>
    </row>
    <row r="31" customFormat="false" ht="32.8" hidden="false" customHeight="false" outlineLevel="0" collapsed="false">
      <c r="A31" s="29" t="s">
        <v>248</v>
      </c>
      <c r="B31" s="15" t="n">
        <f aca="false">MAX(Допущения!$C$37,Допущения!$C$48)*Допущения!$C$49</f>
        <v>8127.9</v>
      </c>
      <c r="C31" s="15" t="n">
        <f aca="false">MAX(Допущения!$C$37,Допущения!$C$48)*Допущения!$C$49</f>
        <v>8127.9</v>
      </c>
      <c r="D31" s="15" t="n">
        <f aca="false">MAX(Допущения!$C$37,Допущения!$C$48)*Допущения!$C$49</f>
        <v>8127.9</v>
      </c>
      <c r="E31" s="15" t="n">
        <f aca="false">MAX(Допущения!$C$37,Допущения!$C$48)*Допущения!$C$49</f>
        <v>8127.9</v>
      </c>
      <c r="F31" s="15" t="n">
        <f aca="false">MAX(Допущения!$C$37,Допущения!$C$48)*Допущения!$C$49</f>
        <v>8127.9</v>
      </c>
      <c r="G31" s="15" t="n">
        <f aca="false">MAX(Допущения!$C$37,Допущения!$C$48)*Допущения!$C$49</f>
        <v>8127.9</v>
      </c>
      <c r="H31" s="15" t="n">
        <f aca="false">MAX(Допущения!$C$37,Допущения!$C$48)*Допущения!$C$49</f>
        <v>8127.9</v>
      </c>
      <c r="I31" s="15" t="n">
        <f aca="false">MAX(Допущения!$C$37,Допущения!$C$48)*Допущения!$C$49</f>
        <v>8127.9</v>
      </c>
      <c r="J31" s="15" t="n">
        <f aca="false">MAX(Допущения!$C$37,Допущения!$C$48)*Допущения!$C$49</f>
        <v>8127.9</v>
      </c>
      <c r="K31" s="15" t="n">
        <f aca="false">MAX(Допущения!$C$37,Допущения!$C$48)*Допущения!$C$49</f>
        <v>8127.9</v>
      </c>
      <c r="L31" s="15" t="n">
        <f aca="false">MAX(Допущения!$C$37,Допущения!$C$48)*Допущения!$C$49</f>
        <v>8127.9</v>
      </c>
      <c r="M31" s="15" t="n">
        <f aca="false">MAX(Допущения!$C$37,Допущения!$C$48)*Допущения!$C$49</f>
        <v>8127.9</v>
      </c>
      <c r="N31" s="15" t="n">
        <f aca="false">MAX(Допущения!$C$37,Допущения!$C$48)*Допущения!$C$49</f>
        <v>8127.9</v>
      </c>
      <c r="O31" s="15" t="n">
        <f aca="false">MAX(Допущения!$C$37,Допущения!$C$48)*Допущения!$C$49</f>
        <v>8127.9</v>
      </c>
      <c r="P31" s="15" t="n">
        <f aca="false">MAX(Допущения!$C$37,Допущения!$C$48)*Допущения!$C$49</f>
        <v>8127.9</v>
      </c>
      <c r="Q31" s="15" t="n">
        <f aca="false">MAX(Допущения!$C$37,Допущения!$C$48)*Допущения!$C$49</f>
        <v>8127.9</v>
      </c>
      <c r="R31" s="15" t="n">
        <f aca="false">MAX(Допущения!$C$37,Допущения!$C$48)*Допущения!$C$49</f>
        <v>8127.9</v>
      </c>
      <c r="S31" s="15" t="n">
        <f aca="false">MAX(Допущения!$C$37,Допущения!$C$48)*Допущения!$C$49</f>
        <v>8127.9</v>
      </c>
      <c r="T31" s="15" t="n">
        <f aca="false">MAX(Допущения!$C$37,Допущения!$C$48)*Допущения!$C$49</f>
        <v>8127.9</v>
      </c>
      <c r="U31" s="15" t="n">
        <f aca="false">MAX(Допущения!$C$37,Допущения!$C$48)*Допущения!$C$49</f>
        <v>8127.9</v>
      </c>
      <c r="V31" s="15" t="n">
        <f aca="false">MAX(Допущения!$C$37,Допущения!$C$48)*Допущения!$C$49</f>
        <v>8127.9</v>
      </c>
      <c r="W31" s="15" t="n">
        <f aca="false">MAX(Допущения!$C$37,Допущения!$C$48)*Допущения!$C$49</f>
        <v>8127.9</v>
      </c>
      <c r="X31" s="15" t="n">
        <f aca="false">MAX(Допущения!$C$37,Допущения!$C$48)*Допущения!$C$49</f>
        <v>8127.9</v>
      </c>
      <c r="Y31" s="15" t="n">
        <f aca="false">MAX(Допущения!$C$37,Допущения!$C$48)*Допущения!$C$49</f>
        <v>8127.9</v>
      </c>
      <c r="Z31" s="8" t="s">
        <v>249</v>
      </c>
    </row>
    <row r="32" customFormat="false" ht="15" hidden="false" customHeight="false" outlineLevel="0" collapsed="false">
      <c r="A32" s="5" t="s">
        <v>250</v>
      </c>
      <c r="B32" s="14" t="n">
        <f aca="false">SUM(B15:B31)</f>
        <v>115835.9</v>
      </c>
      <c r="C32" s="14" t="n">
        <f aca="false">SUM(C15:C31)</f>
        <v>115835.9</v>
      </c>
      <c r="D32" s="14" t="n">
        <f aca="false">SUM(D15:D31)</f>
        <v>116413.26</v>
      </c>
      <c r="E32" s="14" t="n">
        <f aca="false">SUM(E15:E31)</f>
        <v>167072.615254375</v>
      </c>
      <c r="F32" s="14" t="n">
        <f aca="false">SUM(F15:F31)</f>
        <v>167664.961680716</v>
      </c>
      <c r="G32" s="14" t="n">
        <f aca="false">SUM(G15:G31)</f>
        <v>168202.414327093</v>
      </c>
      <c r="H32" s="14" t="n">
        <f aca="false">SUM(H15:H31)</f>
        <v>168691.249878659</v>
      </c>
      <c r="I32" s="14" t="n">
        <f aca="false">SUM(I15:I31)</f>
        <v>169137.003699983</v>
      </c>
      <c r="J32" s="14" t="n">
        <f aca="false">SUM(J15:J31)</f>
        <v>169703.421892303</v>
      </c>
      <c r="K32" s="14" t="n">
        <f aca="false">SUM(K15:K31)</f>
        <v>170205.604161437</v>
      </c>
      <c r="L32" s="14" t="n">
        <f aca="false">SUM(L15:L31)</f>
        <v>170666.269137394</v>
      </c>
      <c r="M32" s="14" t="n">
        <f aca="false">SUM(M15:M31)</f>
        <v>171256.182974356</v>
      </c>
      <c r="N32" s="14" t="n">
        <f aca="false">SUM(N15:N31)</f>
        <v>221775.899700109</v>
      </c>
      <c r="O32" s="14" t="n">
        <f aca="false">SUM(O15:O31)</f>
        <v>222255.385922289</v>
      </c>
      <c r="P32" s="14" t="n">
        <f aca="false">SUM(P15:P31)</f>
        <v>222872.468456375</v>
      </c>
      <c r="Q32" s="14" t="n">
        <f aca="false">SUM(Q15:Q31)</f>
        <v>223413.189408371</v>
      </c>
      <c r="R32" s="14" t="n">
        <f aca="false">SUM(R15:R31)</f>
        <v>224093.015924572</v>
      </c>
      <c r="S32" s="14" t="n">
        <f aca="false">SUM(S15:S31)</f>
        <v>224688.75018451</v>
      </c>
      <c r="T32" s="14" t="n">
        <f aca="false">SUM(T15:T31)</f>
        <v>225425.941467185</v>
      </c>
      <c r="U32" s="14" t="n">
        <f aca="false">SUM(U15:U31)</f>
        <v>226257.537896807</v>
      </c>
      <c r="V32" s="14" t="n">
        <f aca="false">SUM(V15:V31)</f>
        <v>226989.368046726</v>
      </c>
      <c r="W32" s="14" t="n">
        <f aca="false">SUM(W15:W31)</f>
        <v>227862.520254231</v>
      </c>
      <c r="X32" s="14" t="n">
        <f aca="false">SUM(X15:X31)</f>
        <v>228823.573488902</v>
      </c>
      <c r="Y32" s="14" t="n">
        <f aca="false">SUM(Y15:Y31)</f>
        <v>229867.244761003</v>
      </c>
    </row>
    <row r="33" customFormat="false" ht="15" hidden="false" customHeight="false" outlineLevel="0" collapsed="false">
      <c r="A33" s="3" t="s">
        <v>251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customFormat="false" ht="22.35" hidden="false" customHeight="false" outlineLevel="0" collapsed="false">
      <c r="A34" s="17" t="s">
        <v>252</v>
      </c>
      <c r="B34" s="7" t="n">
        <f aca="false">SUM($B$12:B12)</f>
        <v>0</v>
      </c>
      <c r="C34" s="7" t="n">
        <f aca="false">SUM($B$12:C12)</f>
        <v>0</v>
      </c>
      <c r="D34" s="7" t="n">
        <f aca="false">SUM($B$12:D12)</f>
        <v>3947.9</v>
      </c>
      <c r="E34" s="7" t="n">
        <f aca="false">SUM($E$12:E12)</f>
        <v>8485.8175875</v>
      </c>
      <c r="F34" s="7" t="n">
        <f aca="false">SUM($E$12:F12)</f>
        <v>21062.1486018167</v>
      </c>
      <c r="G34" s="7" t="n">
        <f aca="false">SUM($E$12:G12)</f>
        <v>37333.1881459185</v>
      </c>
      <c r="H34" s="7" t="n">
        <f aca="false">SUM($E$12:H12)</f>
        <v>56948.5567813911</v>
      </c>
      <c r="I34" s="7" t="n">
        <f aca="false">SUM($E$12:I12)</f>
        <v>79597.9016076686</v>
      </c>
      <c r="J34" s="7" t="n">
        <f aca="false">SUM($E$12:J12)</f>
        <v>105984.071142088</v>
      </c>
      <c r="K34" s="7" t="n">
        <f aca="false">SUM($E$12:K12)</f>
        <v>135770.568026776</v>
      </c>
      <c r="L34" s="7" t="n">
        <f aca="false">SUM($E$12:L12)</f>
        <v>168658.75771103</v>
      </c>
      <c r="M34" s="7" t="n">
        <f aca="false">SUM($E$12:M12)</f>
        <v>205356.851139991</v>
      </c>
      <c r="N34" s="7" t="n">
        <f aca="false">SUM($E$12:N12)</f>
        <v>245539.81460068</v>
      </c>
      <c r="O34" s="7" t="n">
        <f aca="false">SUM($E$12:O12)</f>
        <v>288918.662524348</v>
      </c>
      <c r="P34" s="7" t="n">
        <f aca="false">SUM($E$12:P12)</f>
        <v>336205.19857482</v>
      </c>
      <c r="Q34" s="7" t="n">
        <f aca="false">SUM($E$12:Q12)</f>
        <v>387084.315768107</v>
      </c>
      <c r="R34" s="7" t="n">
        <f aca="false">SUM($E$12:R12)</f>
        <v>442241.181875216</v>
      </c>
      <c r="S34" s="7" t="n">
        <f aca="false">SUM($E$12:S12)</f>
        <v>501341.389603179</v>
      </c>
      <c r="T34" s="7" t="n">
        <f aca="false">SUM($E$12:T12)</f>
        <v>565049.520803737</v>
      </c>
      <c r="U34" s="7" t="n">
        <f aca="false">SUM($E$12:U12)</f>
        <v>633978.490772569</v>
      </c>
      <c r="V34" s="7" t="n">
        <f aca="false">SUM($E$12:V12)</f>
        <v>707735.912402933</v>
      </c>
      <c r="W34" s="7" t="n">
        <f aca="false">SUM($E$12:W12)</f>
        <v>786929.421719716</v>
      </c>
      <c r="X34" s="7" t="n">
        <f aca="false">SUM($E$12:X12)</f>
        <v>872123.052900381</v>
      </c>
      <c r="Y34" s="7" t="n">
        <f aca="false">SUM($E$12:Y12)</f>
        <v>963842.406675303</v>
      </c>
      <c r="Z34" s="8" t="s">
        <v>253</v>
      </c>
    </row>
    <row r="35" customFormat="false" ht="15" hidden="false" customHeight="false" outlineLevel="0" collapsed="false">
      <c r="A35" s="17" t="s">
        <v>254</v>
      </c>
      <c r="B35" s="7" t="n">
        <f aca="false">IF(B34&gt;Допущения!$C$46,B12*Допущения!$C$47,0)</f>
        <v>0</v>
      </c>
      <c r="C35" s="7" t="n">
        <f aca="false">IF(C34&gt;Допущения!$C$46,C12*Допущения!$C$47,0)</f>
        <v>0</v>
      </c>
      <c r="D35" s="7" t="n">
        <f aca="false">IF(D34&gt;Допущения!$C$46,D12*Допущения!$C$47,0)</f>
        <v>0</v>
      </c>
      <c r="E35" s="7" t="n">
        <f aca="false">IF(E34&gt;Допущения!$C$46,E12*Допущения!$C$47,0)</f>
        <v>0</v>
      </c>
      <c r="F35" s="7" t="n">
        <f aca="false">IF(F34&gt;Допущения!$C$46,F12*Допущения!$C$47,0)</f>
        <v>0</v>
      </c>
      <c r="G35" s="7" t="n">
        <f aca="false">IF(G34&gt;Допущения!$C$46,G12*Допущения!$C$47,0)</f>
        <v>0</v>
      </c>
      <c r="H35" s="7" t="n">
        <f aca="false">IF(H34&gt;Допущения!$C$46,H12*Допущения!$C$47,0)</f>
        <v>0</v>
      </c>
      <c r="I35" s="7" t="n">
        <f aca="false">IF(I34&gt;Допущения!$C$46,I12*Допущения!$C$47,0)</f>
        <v>0</v>
      </c>
      <c r="J35" s="7" t="n">
        <f aca="false">IF(J34&gt;Допущения!$C$46,J12*Допущения!$C$47,0)</f>
        <v>0</v>
      </c>
      <c r="K35" s="7" t="n">
        <f aca="false">IF(K34&gt;Допущения!$C$46,K12*Допущения!$C$47,0)</f>
        <v>0</v>
      </c>
      <c r="L35" s="7" t="n">
        <f aca="false">IF(L34&gt;Допущения!$C$46,L12*Допущения!$C$47,0)</f>
        <v>0</v>
      </c>
      <c r="M35" s="7" t="n">
        <f aca="false">IF(M34&gt;Допущения!$C$46,M12*Допущения!$C$47,0)</f>
        <v>0</v>
      </c>
      <c r="N35" s="7" t="n">
        <f aca="false">IF(N34&gt;Допущения!$C$46,N12*Допущения!$C$47,0)</f>
        <v>0</v>
      </c>
      <c r="O35" s="7" t="n">
        <f aca="false">IF(O34&gt;Допущения!$C$46,O12*Допущения!$C$47,0)</f>
        <v>0</v>
      </c>
      <c r="P35" s="7" t="n">
        <f aca="false">IF(P34&gt;Допущения!$C$46,P12*Допущения!$C$47,0)</f>
        <v>0</v>
      </c>
      <c r="Q35" s="7" t="n">
        <f aca="false">IF(Q34&gt;Допущения!$C$46,Q12*Допущения!$C$47,0)</f>
        <v>0</v>
      </c>
      <c r="R35" s="7" t="n">
        <f aca="false">IF(R34&gt;Допущения!$C$46,R12*Допущения!$C$47,0)</f>
        <v>0</v>
      </c>
      <c r="S35" s="7" t="n">
        <f aca="false">IF(S34&gt;Допущения!$C$46,S12*Допущения!$C$47,0)</f>
        <v>0</v>
      </c>
      <c r="T35" s="7" t="n">
        <f aca="false">IF(T34&gt;Допущения!$C$46,T12*Допущения!$C$47,0)</f>
        <v>0</v>
      </c>
      <c r="U35" s="7" t="n">
        <f aca="false">IF(U34&gt;Допущения!$C$46,U12*Допущения!$C$47,0)</f>
        <v>0</v>
      </c>
      <c r="V35" s="7" t="n">
        <f aca="false">IF(V34&gt;Допущения!$C$46,V12*Допущения!$C$47,0)</f>
        <v>0</v>
      </c>
      <c r="W35" s="7" t="n">
        <f aca="false">IF(W34&gt;Допущения!$C$46,W12*Допущения!$C$47,0)</f>
        <v>0</v>
      </c>
      <c r="X35" s="7" t="n">
        <f aca="false">IF(X34&gt;Допущения!$C$46,X12*Допущения!$C$47,0)</f>
        <v>0</v>
      </c>
      <c r="Y35" s="7" t="n">
        <f aca="false">IF(Y34&gt;Допущения!$C$46,Y12*Допущения!$C$47,0)</f>
        <v>0</v>
      </c>
      <c r="Z35" s="8" t="s">
        <v>255</v>
      </c>
    </row>
    <row r="36" customFormat="false" ht="15" hidden="false" customHeight="false" outlineLevel="0" collapsed="false">
      <c r="A36" s="17" t="s">
        <v>256</v>
      </c>
      <c r="B36" s="7" t="n">
        <f aca="false">B12-B32-B35</f>
        <v>-115835.9</v>
      </c>
      <c r="C36" s="7" t="n">
        <f aca="false">C12-C32-C35</f>
        <v>-115835.9</v>
      </c>
      <c r="D36" s="7" t="n">
        <f aca="false">D12-D32-D35</f>
        <v>-112465.36</v>
      </c>
      <c r="E36" s="7" t="n">
        <f aca="false">E12-E32-E35</f>
        <v>-158586.797666875</v>
      </c>
      <c r="F36" s="7" t="n">
        <f aca="false">F12-F32-F35</f>
        <v>-155088.630666399</v>
      </c>
      <c r="G36" s="7" t="n">
        <f aca="false">G12-G32-G35</f>
        <v>-151931.374782991</v>
      </c>
      <c r="H36" s="7" t="n">
        <f aca="false">H12-H32-H35</f>
        <v>-149075.881243187</v>
      </c>
      <c r="I36" s="7" t="n">
        <f aca="false">I12-I32-I35</f>
        <v>-146487.658873705</v>
      </c>
      <c r="J36" s="7" t="n">
        <f aca="false">J12-J32-J35</f>
        <v>-143317.252357884</v>
      </c>
      <c r="K36" s="7" t="n">
        <f aca="false">K12-K32-K35</f>
        <v>-140419.107276749</v>
      </c>
      <c r="L36" s="7" t="n">
        <f aca="false">L12-L32-L35</f>
        <v>-137778.07945314</v>
      </c>
      <c r="M36" s="7" t="n">
        <f aca="false">M12-M32-M35</f>
        <v>-134558.089545395</v>
      </c>
      <c r="N36" s="7" t="n">
        <f aca="false">N12-N32-N35</f>
        <v>-181592.936239419</v>
      </c>
      <c r="O36" s="7" t="n">
        <f aca="false">O12-O32-O35</f>
        <v>-178876.537998621</v>
      </c>
      <c r="P36" s="7" t="n">
        <f aca="false">P12-P32-P35</f>
        <v>-175585.932405903</v>
      </c>
      <c r="Q36" s="7" t="n">
        <f aca="false">Q12-Q32-Q35</f>
        <v>-172534.072215084</v>
      </c>
      <c r="R36" s="7" t="n">
        <f aca="false">R12-R32-R35</f>
        <v>-168936.149817464</v>
      </c>
      <c r="S36" s="7" t="n">
        <f aca="false">S12-S32-S35</f>
        <v>-165588.542456546</v>
      </c>
      <c r="T36" s="7" t="n">
        <f aca="false">T12-T32-T35</f>
        <v>-161717.810266626</v>
      </c>
      <c r="U36" s="7" t="n">
        <f aca="false">U12-U32-U35</f>
        <v>-157328.567927975</v>
      </c>
      <c r="V36" s="7" t="n">
        <f aca="false">V12-V32-V35</f>
        <v>-153231.946416361</v>
      </c>
      <c r="W36" s="7" t="n">
        <f aca="false">W12-W32-W35</f>
        <v>-148669.010937448</v>
      </c>
      <c r="X36" s="7" t="n">
        <f aca="false">X12-X32-X35</f>
        <v>-143629.942308237</v>
      </c>
      <c r="Y36" s="7" t="n">
        <f aca="false">Y12-Y32-Y35</f>
        <v>-138147.890986081</v>
      </c>
    </row>
    <row r="37" customFormat="false" ht="22.35" hidden="false" customHeight="false" outlineLevel="0" collapsed="false">
      <c r="A37" s="17" t="s">
        <v>257</v>
      </c>
      <c r="B37" s="7" t="n">
        <f aca="false">MAX(B36*Допущения!$C$44,B12*Допущения!$C$45)</f>
        <v>0</v>
      </c>
      <c r="C37" s="7" t="n">
        <f aca="false">MAX(C36*Допущения!$C$44,C12*Допущения!$C$45)</f>
        <v>0</v>
      </c>
      <c r="D37" s="7" t="n">
        <f aca="false">MAX(D36*Допущения!$C$44,D12*Допущения!$C$45)</f>
        <v>39.479</v>
      </c>
      <c r="E37" s="7" t="n">
        <f aca="false">MAX(E36*Допущения!$C$44,E12*Допущения!$C$45)</f>
        <v>84.858175875</v>
      </c>
      <c r="F37" s="7" t="n">
        <f aca="false">MAX(F36*Допущения!$C$44,F12*Допущения!$C$45)</f>
        <v>125.763310143167</v>
      </c>
      <c r="G37" s="7" t="n">
        <f aca="false">MAX(G36*Допущения!$C$44,G12*Допущения!$C$45)</f>
        <v>162.710395441018</v>
      </c>
      <c r="H37" s="7" t="n">
        <f aca="false">MAX(H36*Допущения!$C$44,H12*Допущения!$C$45)</f>
        <v>196.153686354726</v>
      </c>
      <c r="I37" s="7" t="n">
        <f aca="false">MAX(I36*Допущения!$C$44,I12*Допущения!$C$45)</f>
        <v>226.493448262774</v>
      </c>
      <c r="J37" s="7" t="n">
        <f aca="false">MAX(J36*Допущения!$C$44,J12*Допущения!$C$45)</f>
        <v>263.861695344194</v>
      </c>
      <c r="K37" s="7" t="n">
        <f aca="false">MAX(K36*Допущения!$C$44,K12*Допущения!$C$45)</f>
        <v>297.864968846876</v>
      </c>
      <c r="L37" s="7" t="n">
        <f aca="false">MAX(L36*Допущения!$C$44,L12*Допущения!$C$45)</f>
        <v>328.881896842542</v>
      </c>
      <c r="M37" s="7" t="n">
        <f aca="false">MAX(M36*Допущения!$C$44,M12*Допущения!$C$45)</f>
        <v>366.980934289607</v>
      </c>
      <c r="N37" s="7" t="n">
        <f aca="false">MAX(N36*Допущения!$C$44,N12*Допущения!$C$45)</f>
        <v>401.829634606893</v>
      </c>
      <c r="O37" s="7" t="n">
        <f aca="false">MAX(O36*Допущения!$C$44,O12*Допущения!$C$45)</f>
        <v>433.788479236681</v>
      </c>
      <c r="P37" s="7" t="n">
        <f aca="false">MAX(P36*Допущения!$C$44,P12*Допущения!$C$45)</f>
        <v>472.865360504722</v>
      </c>
      <c r="Q37" s="7" t="n">
        <f aca="false">MAX(Q36*Допущения!$C$44,Q12*Допущения!$C$45)</f>
        <v>508.791171932866</v>
      </c>
      <c r="R37" s="7" t="n">
        <f aca="false">MAX(R36*Допущения!$C$44,R12*Допущения!$C$45)</f>
        <v>551.568661071087</v>
      </c>
      <c r="S37" s="7" t="n">
        <f aca="false">MAX(S36*Допущения!$C$44,S12*Допущения!$C$45)</f>
        <v>591.002077279633</v>
      </c>
      <c r="T37" s="7" t="n">
        <f aca="false">MAX(T36*Допущения!$C$44,T12*Допущения!$C$45)</f>
        <v>637.081312005581</v>
      </c>
      <c r="U37" s="7" t="n">
        <f aca="false">MAX(U36*Допущения!$C$44,U12*Допущения!$C$45)</f>
        <v>689.289699688318</v>
      </c>
      <c r="V37" s="7" t="n">
        <f aca="false">MAX(V36*Допущения!$C$44,V12*Допущения!$C$45)</f>
        <v>737.574216303647</v>
      </c>
      <c r="W37" s="7" t="n">
        <f aca="false">MAX(W36*Допущения!$C$44,W12*Допущения!$C$45)</f>
        <v>791.935093167828</v>
      </c>
      <c r="X37" s="7" t="n">
        <f aca="false">MAX(X36*Допущения!$C$44,X12*Допущения!$C$45)</f>
        <v>851.936311806647</v>
      </c>
      <c r="Y37" s="7" t="n">
        <f aca="false">MAX(Y36*Допущения!$C$44,Y12*Допущения!$C$45)</f>
        <v>917.193537749221</v>
      </c>
      <c r="Z37" s="8" t="s">
        <v>258</v>
      </c>
    </row>
    <row r="38" customFormat="false" ht="15" hidden="false" customHeight="false" outlineLevel="0" collapsed="false">
      <c r="A38" s="5" t="s">
        <v>259</v>
      </c>
      <c r="B38" s="14" t="n">
        <f aca="false">B35+B37</f>
        <v>0</v>
      </c>
      <c r="C38" s="14" t="n">
        <f aca="false">C35+C37</f>
        <v>0</v>
      </c>
      <c r="D38" s="14" t="n">
        <f aca="false">D35+D37</f>
        <v>39.479</v>
      </c>
      <c r="E38" s="14" t="n">
        <f aca="false">E35+E37</f>
        <v>84.858175875</v>
      </c>
      <c r="F38" s="14" t="n">
        <f aca="false">F35+F37</f>
        <v>125.763310143167</v>
      </c>
      <c r="G38" s="14" t="n">
        <f aca="false">G35+G37</f>
        <v>162.710395441018</v>
      </c>
      <c r="H38" s="14" t="n">
        <f aca="false">H35+H37</f>
        <v>196.153686354726</v>
      </c>
      <c r="I38" s="14" t="n">
        <f aca="false">I35+I37</f>
        <v>226.493448262774</v>
      </c>
      <c r="J38" s="14" t="n">
        <f aca="false">J35+J37</f>
        <v>263.861695344194</v>
      </c>
      <c r="K38" s="14" t="n">
        <f aca="false">K35+K37</f>
        <v>297.864968846876</v>
      </c>
      <c r="L38" s="14" t="n">
        <f aca="false">L35+L37</f>
        <v>328.881896842542</v>
      </c>
      <c r="M38" s="14" t="n">
        <f aca="false">M35+M37</f>
        <v>366.980934289607</v>
      </c>
      <c r="N38" s="14" t="n">
        <f aca="false">N35+N37</f>
        <v>401.829634606893</v>
      </c>
      <c r="O38" s="14" t="n">
        <f aca="false">O35+O37</f>
        <v>433.788479236681</v>
      </c>
      <c r="P38" s="14" t="n">
        <f aca="false">P35+P37</f>
        <v>472.865360504722</v>
      </c>
      <c r="Q38" s="14" t="n">
        <f aca="false">Q35+Q37</f>
        <v>508.791171932866</v>
      </c>
      <c r="R38" s="14" t="n">
        <f aca="false">R35+R37</f>
        <v>551.568661071087</v>
      </c>
      <c r="S38" s="14" t="n">
        <f aca="false">S35+S37</f>
        <v>591.002077279633</v>
      </c>
      <c r="T38" s="14" t="n">
        <f aca="false">T35+T37</f>
        <v>637.081312005581</v>
      </c>
      <c r="U38" s="14" t="n">
        <f aca="false">U35+U37</f>
        <v>689.289699688318</v>
      </c>
      <c r="V38" s="14" t="n">
        <f aca="false">V35+V37</f>
        <v>737.574216303647</v>
      </c>
      <c r="W38" s="14" t="n">
        <f aca="false">W35+W37</f>
        <v>791.935093167828</v>
      </c>
      <c r="X38" s="14" t="n">
        <f aca="false">X35+X37</f>
        <v>851.936311806647</v>
      </c>
      <c r="Y38" s="14" t="n">
        <f aca="false">Y35+Y37</f>
        <v>917.193537749221</v>
      </c>
    </row>
    <row r="39" customFormat="false" ht="15" hidden="false" customHeight="false" outlineLevel="0" collapsed="false">
      <c r="A39" s="3" t="s">
        <v>260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customFormat="false" ht="15" hidden="false" customHeight="false" outlineLevel="0" collapsed="false">
      <c r="A40" s="5" t="s">
        <v>261</v>
      </c>
      <c r="B40" s="14" t="n">
        <f aca="false">B12-B32</f>
        <v>-115835.9</v>
      </c>
      <c r="C40" s="14" t="n">
        <f aca="false">C12-C32</f>
        <v>-115835.9</v>
      </c>
      <c r="D40" s="14" t="n">
        <f aca="false">D12-D32</f>
        <v>-112465.36</v>
      </c>
      <c r="E40" s="14" t="n">
        <f aca="false">E12-E32</f>
        <v>-158586.797666875</v>
      </c>
      <c r="F40" s="14" t="n">
        <f aca="false">F12-F32</f>
        <v>-155088.630666399</v>
      </c>
      <c r="G40" s="14" t="n">
        <f aca="false">G12-G32</f>
        <v>-151931.374782991</v>
      </c>
      <c r="H40" s="14" t="n">
        <f aca="false">H12-H32</f>
        <v>-149075.881243187</v>
      </c>
      <c r="I40" s="14" t="n">
        <f aca="false">I12-I32</f>
        <v>-146487.658873705</v>
      </c>
      <c r="J40" s="14" t="n">
        <f aca="false">J12-J32</f>
        <v>-143317.252357884</v>
      </c>
      <c r="K40" s="14" t="n">
        <f aca="false">K12-K32</f>
        <v>-140419.107276749</v>
      </c>
      <c r="L40" s="14" t="n">
        <f aca="false">L12-L32</f>
        <v>-137778.07945314</v>
      </c>
      <c r="M40" s="14" t="n">
        <f aca="false">M12-M32</f>
        <v>-134558.089545395</v>
      </c>
      <c r="N40" s="14" t="n">
        <f aca="false">N12-N32</f>
        <v>-181592.936239419</v>
      </c>
      <c r="O40" s="14" t="n">
        <f aca="false">O12-O32</f>
        <v>-178876.537998621</v>
      </c>
      <c r="P40" s="14" t="n">
        <f aca="false">P12-P32</f>
        <v>-175585.932405903</v>
      </c>
      <c r="Q40" s="14" t="n">
        <f aca="false">Q12-Q32</f>
        <v>-172534.072215084</v>
      </c>
      <c r="R40" s="14" t="n">
        <f aca="false">R12-R32</f>
        <v>-168936.149817464</v>
      </c>
      <c r="S40" s="14" t="n">
        <f aca="false">S12-S32</f>
        <v>-165588.542456546</v>
      </c>
      <c r="T40" s="14" t="n">
        <f aca="false">T12-T32</f>
        <v>-161717.810266626</v>
      </c>
      <c r="U40" s="14" t="n">
        <f aca="false">U12-U32</f>
        <v>-157328.567927975</v>
      </c>
      <c r="V40" s="14" t="n">
        <f aca="false">V12-V32</f>
        <v>-153231.946416361</v>
      </c>
      <c r="W40" s="14" t="n">
        <f aca="false">W12-W32</f>
        <v>-148669.010937448</v>
      </c>
      <c r="X40" s="14" t="n">
        <f aca="false">X12-X32</f>
        <v>-143629.942308237</v>
      </c>
      <c r="Y40" s="14" t="n">
        <f aca="false">Y12-Y32</f>
        <v>-138147.890986081</v>
      </c>
    </row>
    <row r="41" customFormat="false" ht="15" hidden="false" customHeight="false" outlineLevel="0" collapsed="false">
      <c r="A41" s="5" t="s">
        <v>262</v>
      </c>
      <c r="B41" s="14" t="n">
        <f aca="false">B40-B38</f>
        <v>-115835.9</v>
      </c>
      <c r="C41" s="14" t="n">
        <f aca="false">C40-C38</f>
        <v>-115835.9</v>
      </c>
      <c r="D41" s="14" t="n">
        <f aca="false">D40-D38</f>
        <v>-112504.839</v>
      </c>
      <c r="E41" s="14" t="n">
        <f aca="false">E40-E38</f>
        <v>-158671.65584275</v>
      </c>
      <c r="F41" s="14" t="n">
        <f aca="false">F40-F38</f>
        <v>-155214.393976542</v>
      </c>
      <c r="G41" s="14" t="n">
        <f aca="false">G40-G38</f>
        <v>-152094.085178432</v>
      </c>
      <c r="H41" s="14" t="n">
        <f aca="false">H40-H38</f>
        <v>-149272.034929541</v>
      </c>
      <c r="I41" s="14" t="n">
        <f aca="false">I40-I38</f>
        <v>-146714.152321968</v>
      </c>
      <c r="J41" s="14" t="n">
        <f aca="false">J40-J38</f>
        <v>-143581.114053228</v>
      </c>
      <c r="K41" s="14" t="n">
        <f aca="false">K40-K38</f>
        <v>-140716.972245596</v>
      </c>
      <c r="L41" s="14" t="n">
        <f aca="false">L40-L38</f>
        <v>-138106.961349983</v>
      </c>
      <c r="M41" s="14" t="n">
        <f aca="false">M40-M38</f>
        <v>-134925.070479685</v>
      </c>
      <c r="N41" s="14" t="n">
        <f aca="false">N40-N38</f>
        <v>-181994.765874026</v>
      </c>
      <c r="O41" s="14" t="n">
        <f aca="false">O40-O38</f>
        <v>-179310.326477858</v>
      </c>
      <c r="P41" s="14" t="n">
        <f aca="false">P40-P38</f>
        <v>-176058.797766407</v>
      </c>
      <c r="Q41" s="14" t="n">
        <f aca="false">Q40-Q38</f>
        <v>-173042.863387017</v>
      </c>
      <c r="R41" s="14" t="n">
        <f aca="false">R40-R38</f>
        <v>-169487.718478535</v>
      </c>
      <c r="S41" s="14" t="n">
        <f aca="false">S40-S38</f>
        <v>-166179.544533826</v>
      </c>
      <c r="T41" s="14" t="n">
        <f aca="false">T40-T38</f>
        <v>-162354.891578632</v>
      </c>
      <c r="U41" s="14" t="n">
        <f aca="false">U40-U38</f>
        <v>-158017.857627664</v>
      </c>
      <c r="V41" s="14" t="n">
        <f aca="false">V40-V38</f>
        <v>-153969.520632665</v>
      </c>
      <c r="W41" s="14" t="n">
        <f aca="false">W40-W38</f>
        <v>-149460.946030616</v>
      </c>
      <c r="X41" s="14" t="n">
        <f aca="false">X40-X38</f>
        <v>-144481.878620044</v>
      </c>
      <c r="Y41" s="14" t="n">
        <f aca="false">Y40-Y38</f>
        <v>-139065.084523831</v>
      </c>
    </row>
    <row r="42" customFormat="false" ht="15" hidden="false" customHeight="false" outlineLevel="0" collapsed="false">
      <c r="A42" s="5" t="s">
        <v>263</v>
      </c>
      <c r="B42" s="14" t="n">
        <f aca="false">B13-B32-B38</f>
        <v>-115835.9</v>
      </c>
      <c r="C42" s="14" t="n">
        <f aca="false">C13-C32-C38</f>
        <v>-115835.9</v>
      </c>
      <c r="D42" s="14" t="n">
        <f aca="false">D13-D32-D38</f>
        <v>-111839.339</v>
      </c>
      <c r="E42" s="14" t="n">
        <f aca="false">E13-E32-E38</f>
        <v>-157423.84334275</v>
      </c>
      <c r="F42" s="14" t="n">
        <f aca="false">F13-F32-F38</f>
        <v>-153550.643976542</v>
      </c>
      <c r="G42" s="14" t="n">
        <f aca="false">G13-G32-G38</f>
        <v>-150014.397678432</v>
      </c>
      <c r="H42" s="14" t="n">
        <f aca="false">H13-H32-H38</f>
        <v>-146776.409929541</v>
      </c>
      <c r="I42" s="14" t="n">
        <f aca="false">I13-I32-I38</f>
        <v>-143802.589821968</v>
      </c>
      <c r="J42" s="14" t="n">
        <f aca="false">J13-J32-J38</f>
        <v>-139588.114053228</v>
      </c>
      <c r="K42" s="14" t="n">
        <f aca="false">K13-K32-K38</f>
        <v>-136224.847245596</v>
      </c>
      <c r="L42" s="14" t="n">
        <f aca="false">L13-L32-L38</f>
        <v>-133115.711349983</v>
      </c>
      <c r="M42" s="14" t="n">
        <f aca="false">M13-M32-M38</f>
        <v>-128519.632979685</v>
      </c>
      <c r="N42" s="14" t="n">
        <f aca="false">N13-N32-N38</f>
        <v>-175007.015874026</v>
      </c>
      <c r="O42" s="14" t="n">
        <f aca="false">O13-O32-O38</f>
        <v>-171740.263977858</v>
      </c>
      <c r="P42" s="14" t="n">
        <f aca="false">P13-P32-P38</f>
        <v>-166741.797766407</v>
      </c>
      <c r="Q42" s="14" t="n">
        <f aca="false">Q13-Q32-Q38</f>
        <v>-163060.363387017</v>
      </c>
      <c r="R42" s="14" t="n">
        <f aca="false">R13-R32-R38</f>
        <v>-157508.718478535</v>
      </c>
      <c r="S42" s="14" t="n">
        <f aca="false">S13-S32-S38</f>
        <v>-153451.857033826</v>
      </c>
      <c r="T42" s="14" t="n">
        <f aca="false">T13-T32-T38</f>
        <v>-147381.141578632</v>
      </c>
      <c r="U42" s="14" t="n">
        <f aca="false">U13-U32-U38</f>
        <v>-140631.670127664</v>
      </c>
      <c r="V42" s="14" t="n">
        <f aca="false">V13-V32-V38</f>
        <v>-135668.270632665</v>
      </c>
      <c r="W42" s="14" t="n">
        <f aca="false">W13-W32-W38</f>
        <v>-128497.696030616</v>
      </c>
      <c r="X42" s="14" t="n">
        <f aca="false">X13-X32-X38</f>
        <v>-120690.253620044</v>
      </c>
      <c r="Y42" s="14" t="n">
        <f aca="false">Y13-Y32-Y38</f>
        <v>-112278.709523831</v>
      </c>
    </row>
    <row r="43" customFormat="false" ht="15" hidden="false" customHeight="false" outlineLevel="0" collapsed="false">
      <c r="A43" s="5" t="s">
        <v>264</v>
      </c>
      <c r="B43" s="14" t="n">
        <f aca="false">Допущения!$C$52+B42</f>
        <v>384164.1</v>
      </c>
      <c r="C43" s="14" t="n">
        <f aca="false">B43+C42</f>
        <v>268328.2</v>
      </c>
      <c r="D43" s="14" t="n">
        <f aca="false">C43+D42</f>
        <v>156488.861</v>
      </c>
      <c r="E43" s="14" t="n">
        <f aca="false">D43+E42</f>
        <v>-934.982342750067</v>
      </c>
      <c r="F43" s="14" t="n">
        <f aca="false">E43+F42</f>
        <v>-154485.626319292</v>
      </c>
      <c r="G43" s="14" t="n">
        <f aca="false">F43+G42</f>
        <v>-304500.023997724</v>
      </c>
      <c r="H43" s="14" t="n">
        <f aca="false">G43+H42</f>
        <v>-451276.433927266</v>
      </c>
      <c r="I43" s="14" t="n">
        <f aca="false">H43+I42</f>
        <v>-595079.023749234</v>
      </c>
      <c r="J43" s="14" t="n">
        <f aca="false">I43+J42</f>
        <v>-734667.137802461</v>
      </c>
      <c r="K43" s="14" t="n">
        <f aca="false">J43+K42</f>
        <v>-870891.985048057</v>
      </c>
      <c r="L43" s="14" t="n">
        <f aca="false">K43+L42</f>
        <v>-1004007.69639804</v>
      </c>
      <c r="M43" s="14" t="n">
        <f aca="false">L43+M42</f>
        <v>-1132527.32937773</v>
      </c>
      <c r="N43" s="14" t="n">
        <f aca="false">M43+N42</f>
        <v>-1307534.34525175</v>
      </c>
      <c r="O43" s="14" t="n">
        <f aca="false">N43+O42</f>
        <v>-1479274.60922961</v>
      </c>
      <c r="P43" s="14" t="n">
        <f aca="false">O43+P42</f>
        <v>-1646016.40699602</v>
      </c>
      <c r="Q43" s="14" t="n">
        <f aca="false">P43+Q42</f>
        <v>-1809076.77038303</v>
      </c>
      <c r="R43" s="14" t="n">
        <f aca="false">Q43+R42</f>
        <v>-1966585.48886157</v>
      </c>
      <c r="S43" s="14" t="n">
        <f aca="false">R43+S42</f>
        <v>-2120037.34589539</v>
      </c>
      <c r="T43" s="14" t="n">
        <f aca="false">S43+T42</f>
        <v>-2267418.48747403</v>
      </c>
      <c r="U43" s="14" t="n">
        <f aca="false">T43+U42</f>
        <v>-2408050.15760169</v>
      </c>
      <c r="V43" s="14" t="n">
        <f aca="false">U43+V42</f>
        <v>-2543718.42823436</v>
      </c>
      <c r="W43" s="14" t="n">
        <f aca="false">V43+W42</f>
        <v>-2672216.12426497</v>
      </c>
      <c r="X43" s="14" t="n">
        <f aca="false">W43+X42</f>
        <v>-2792906.37788502</v>
      </c>
      <c r="Y43" s="14" t="n">
        <f aca="false">X43+Y42</f>
        <v>-2905185.08740885</v>
      </c>
      <c r="Z43" s="8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2"/>
    <col collapsed="false" customWidth="true" hidden="false" outlineLevel="0" max="26" min="26" style="0" width="60"/>
  </cols>
  <sheetData>
    <row r="1" customFormat="false" ht="17.3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3" customFormat="false" ht="15" hidden="false" customHeight="false" outlineLevel="0" collapsed="false">
      <c r="A3" s="19" t="s">
        <v>194</v>
      </c>
      <c r="B3" s="19" t="s">
        <v>195</v>
      </c>
      <c r="C3" s="19" t="s">
        <v>196</v>
      </c>
      <c r="D3" s="19" t="s">
        <v>197</v>
      </c>
      <c r="E3" s="19" t="s">
        <v>198</v>
      </c>
      <c r="F3" s="19" t="s">
        <v>199</v>
      </c>
      <c r="G3" s="19" t="s">
        <v>200</v>
      </c>
      <c r="H3" s="19" t="s">
        <v>201</v>
      </c>
      <c r="I3" s="19" t="s">
        <v>202</v>
      </c>
      <c r="J3" s="19" t="s">
        <v>203</v>
      </c>
      <c r="K3" s="19" t="s">
        <v>204</v>
      </c>
      <c r="L3" s="19" t="s">
        <v>205</v>
      </c>
      <c r="M3" s="19" t="s">
        <v>206</v>
      </c>
      <c r="N3" s="19" t="s">
        <v>207</v>
      </c>
      <c r="O3" s="19" t="s">
        <v>208</v>
      </c>
      <c r="P3" s="19" t="s">
        <v>209</v>
      </c>
      <c r="Q3" s="19" t="s">
        <v>210</v>
      </c>
      <c r="R3" s="19" t="s">
        <v>211</v>
      </c>
      <c r="S3" s="19" t="s">
        <v>212</v>
      </c>
      <c r="T3" s="19" t="s">
        <v>213</v>
      </c>
      <c r="U3" s="19" t="s">
        <v>214</v>
      </c>
      <c r="V3" s="19" t="s">
        <v>215</v>
      </c>
      <c r="W3" s="19" t="s">
        <v>216</v>
      </c>
      <c r="X3" s="19" t="s">
        <v>217</v>
      </c>
      <c r="Y3" s="19" t="s">
        <v>218</v>
      </c>
    </row>
    <row r="4" customFormat="false" ht="15" hidden="false" customHeight="false" outlineLevel="0" collapsed="false">
      <c r="A4" s="3" t="s">
        <v>113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15" hidden="false" customHeight="false" outlineLevel="0" collapsed="false">
      <c r="A5" s="17" t="s">
        <v>219</v>
      </c>
      <c r="B5" s="11" t="n">
        <f aca="false">B8</f>
        <v>58</v>
      </c>
      <c r="C5" s="11" t="n">
        <f aca="false">B5+C8</f>
        <v>118</v>
      </c>
      <c r="D5" s="11" t="n">
        <f aca="false">C5+D8</f>
        <v>181</v>
      </c>
      <c r="E5" s="11" t="n">
        <f aca="false">D5+E8</f>
        <v>246</v>
      </c>
      <c r="F5" s="11" t="n">
        <f aca="false">E5+F8</f>
        <v>314</v>
      </c>
      <c r="G5" s="11" t="n">
        <f aca="false">F5+G8</f>
        <v>385</v>
      </c>
      <c r="H5" s="11" t="n">
        <f aca="false">G5+H8</f>
        <v>459</v>
      </c>
      <c r="I5" s="11" t="n">
        <f aca="false">H5+I8</f>
        <v>536</v>
      </c>
      <c r="J5" s="11" t="n">
        <f aca="false">I5+J8</f>
        <v>617</v>
      </c>
      <c r="K5" s="11" t="n">
        <f aca="false">J5+K8</f>
        <v>702</v>
      </c>
      <c r="L5" s="11" t="n">
        <f aca="false">K5+L8</f>
        <v>791</v>
      </c>
      <c r="M5" s="11" t="n">
        <f aca="false">L5+M8</f>
        <v>885</v>
      </c>
      <c r="N5" s="11" t="n">
        <f aca="false">M5+N8</f>
        <v>984</v>
      </c>
      <c r="O5" s="11" t="n">
        <f aca="false">N5+O8</f>
        <v>1088</v>
      </c>
      <c r="P5" s="11" t="n">
        <f aca="false">O5+P8</f>
        <v>1198</v>
      </c>
      <c r="Q5" s="11" t="n">
        <f aca="false">P5+Q8</f>
        <v>1314</v>
      </c>
      <c r="R5" s="11" t="n">
        <f aca="false">Q5+R8</f>
        <v>1437</v>
      </c>
      <c r="S5" s="11" t="n">
        <f aca="false">R5+S8</f>
        <v>1567</v>
      </c>
      <c r="T5" s="11" t="n">
        <f aca="false">S5+T8</f>
        <v>1705</v>
      </c>
      <c r="U5" s="11" t="n">
        <f aca="false">T5+U8</f>
        <v>1852</v>
      </c>
      <c r="V5" s="11" t="n">
        <f aca="false">U5+V8</f>
        <v>2008</v>
      </c>
      <c r="W5" s="11" t="n">
        <f aca="false">V5+W8</f>
        <v>2173</v>
      </c>
      <c r="X5" s="11" t="n">
        <f aca="false">W5+X8</f>
        <v>2349</v>
      </c>
      <c r="Y5" s="11" t="n">
        <f aca="false">X5+Y8</f>
        <v>2536</v>
      </c>
    </row>
    <row r="6" customFormat="false" ht="15" hidden="false" customHeight="false" outlineLevel="0" collapsed="false">
      <c r="A6" s="17" t="s">
        <v>220</v>
      </c>
      <c r="B6" s="11" t="n">
        <f aca="false">Допущения!$D$17*(1+Допущения!$D$18)^0</f>
        <v>25</v>
      </c>
      <c r="C6" s="11" t="n">
        <f aca="false">Допущения!$D$17*(1+Допущения!$D$18)^1</f>
        <v>27.25</v>
      </c>
      <c r="D6" s="11" t="n">
        <f aca="false">Допущения!$D$17*(1+Допущения!$D$18)^2</f>
        <v>29.7025</v>
      </c>
      <c r="E6" s="11" t="n">
        <f aca="false">Допущения!$D$17*(1+Допущения!$D$18)^3</f>
        <v>32.375725</v>
      </c>
      <c r="F6" s="11" t="n">
        <f aca="false">Допущения!$D$17*(1+Допущения!$D$18)^4</f>
        <v>35.28954025</v>
      </c>
      <c r="G6" s="11" t="n">
        <f aca="false">Допущения!$D$17*(1+Допущения!$D$18)^5</f>
        <v>38.4655988725</v>
      </c>
      <c r="H6" s="11" t="n">
        <f aca="false">Допущения!$D$17*(1+Допущения!$D$18)^6</f>
        <v>41.927502771025</v>
      </c>
      <c r="I6" s="11" t="n">
        <f aca="false">Допущения!$D$17*(1+Допущения!$D$18)^7</f>
        <v>45.7009780204173</v>
      </c>
      <c r="J6" s="11" t="n">
        <f aca="false">Допущения!$D$17*(1+Допущения!$D$18)^8</f>
        <v>49.8140660422548</v>
      </c>
      <c r="K6" s="11" t="n">
        <f aca="false">Допущения!$D$17*(1+Допущения!$D$18)^9</f>
        <v>54.2973319860578</v>
      </c>
      <c r="L6" s="11" t="n">
        <f aca="false">Допущения!$D$17*(1+Допущения!$D$18)^10</f>
        <v>59.184091864803</v>
      </c>
      <c r="M6" s="11" t="n">
        <f aca="false">Допущения!$D$17*(1+Допущения!$D$18)^11</f>
        <v>64.5106601326353</v>
      </c>
      <c r="N6" s="11" t="n">
        <f aca="false">Допущения!$D$17*(1+Допущения!$D$18)^12</f>
        <v>70.3166195445724</v>
      </c>
      <c r="O6" s="11" t="n">
        <f aca="false">Допущения!$D$17*(1+Допущения!$D$18)^13</f>
        <v>76.645115303584</v>
      </c>
      <c r="P6" s="11" t="n">
        <f aca="false">Допущения!$D$17*(1+Допущения!$D$18)^14</f>
        <v>83.5431756809065</v>
      </c>
      <c r="Q6" s="11" t="n">
        <f aca="false">Допущения!$D$17*(1+Допущения!$D$18)^15</f>
        <v>91.0620614921881</v>
      </c>
      <c r="R6" s="11" t="n">
        <f aca="false">Допущения!$D$17*(1+Допущения!$D$18)^16</f>
        <v>99.2576470264851</v>
      </c>
      <c r="S6" s="11" t="n">
        <f aca="false">Допущения!$D$17*(1+Допущения!$D$18)^17</f>
        <v>108.190835258869</v>
      </c>
      <c r="T6" s="11" t="n">
        <f aca="false">Допущения!$D$17*(1+Допущения!$D$18)^18</f>
        <v>117.928010432167</v>
      </c>
      <c r="U6" s="11" t="n">
        <f aca="false">Допущения!$D$17*(1+Допущения!$D$18)^19</f>
        <v>128.541531371062</v>
      </c>
      <c r="V6" s="11" t="n">
        <f aca="false">Допущения!$D$17*(1+Допущения!$D$18)^20</f>
        <v>140.110269194458</v>
      </c>
      <c r="W6" s="11" t="n">
        <f aca="false">Допущения!$D$17*(1+Допущения!$D$18)^21</f>
        <v>152.720193421959</v>
      </c>
      <c r="X6" s="11" t="n">
        <f aca="false">Допущения!$D$17*(1+Допущения!$D$18)^22</f>
        <v>166.465010829935</v>
      </c>
      <c r="Y6" s="11" t="n">
        <f aca="false">Допущения!$D$17*(1+Допущения!$D$18)^23</f>
        <v>181.446861804629</v>
      </c>
    </row>
    <row r="7" customFormat="false" ht="22.35" hidden="false" customHeight="false" outlineLevel="0" collapsed="false">
      <c r="A7" s="17" t="s">
        <v>221</v>
      </c>
      <c r="B7" s="11" t="n">
        <f aca="false">Допущения!$D$34/Допущения!$D$19</f>
        <v>33.3333333333333</v>
      </c>
      <c r="C7" s="11" t="n">
        <f aca="false">Допущения!$D$34/Допущения!$D$19</f>
        <v>33.3333333333333</v>
      </c>
      <c r="D7" s="11" t="n">
        <f aca="false">Допущения!$D$34/Допущения!$D$19</f>
        <v>33.3333333333333</v>
      </c>
      <c r="E7" s="11" t="n">
        <f aca="false">Допущения!$D$34/Допущения!$D$19</f>
        <v>33.3333333333333</v>
      </c>
      <c r="F7" s="11" t="n">
        <f aca="false">Допущения!$D$34/Допущения!$D$19</f>
        <v>33.3333333333333</v>
      </c>
      <c r="G7" s="11" t="n">
        <f aca="false">Допущения!$D$34/Допущения!$D$19</f>
        <v>33.3333333333333</v>
      </c>
      <c r="H7" s="11" t="n">
        <f aca="false">Допущения!$D$34/Допущения!$D$19</f>
        <v>33.3333333333333</v>
      </c>
      <c r="I7" s="11" t="n">
        <f aca="false">Допущения!$D$34/Допущения!$D$19</f>
        <v>33.3333333333333</v>
      </c>
      <c r="J7" s="11" t="n">
        <f aca="false">Допущения!$D$34/Допущения!$D$19</f>
        <v>33.3333333333333</v>
      </c>
      <c r="K7" s="11" t="n">
        <f aca="false">Допущения!$D$34/Допущения!$D$19</f>
        <v>33.3333333333333</v>
      </c>
      <c r="L7" s="11" t="n">
        <f aca="false">Допущения!$D$34/Допущения!$D$19</f>
        <v>33.3333333333333</v>
      </c>
      <c r="M7" s="11" t="n">
        <f aca="false">Допущения!$D$34/Допущения!$D$19</f>
        <v>33.3333333333333</v>
      </c>
      <c r="N7" s="11" t="n">
        <f aca="false">Допущения!$D$34/Допущения!$D$19</f>
        <v>33.3333333333333</v>
      </c>
      <c r="O7" s="11" t="n">
        <f aca="false">Допущения!$D$34/Допущения!$D$19</f>
        <v>33.3333333333333</v>
      </c>
      <c r="P7" s="11" t="n">
        <f aca="false">Допущения!$D$34/Допущения!$D$19</f>
        <v>33.3333333333333</v>
      </c>
      <c r="Q7" s="11" t="n">
        <f aca="false">Допущения!$D$34/Допущения!$D$19</f>
        <v>33.3333333333333</v>
      </c>
      <c r="R7" s="11" t="n">
        <f aca="false">Допущения!$D$34/Допущения!$D$19</f>
        <v>33.3333333333333</v>
      </c>
      <c r="S7" s="11" t="n">
        <f aca="false">Допущения!$D$34/Допущения!$D$19</f>
        <v>33.3333333333333</v>
      </c>
      <c r="T7" s="11" t="n">
        <f aca="false">Допущения!$D$34/Допущения!$D$19</f>
        <v>33.3333333333333</v>
      </c>
      <c r="U7" s="11" t="n">
        <f aca="false">Допущения!$D$34/Допущения!$D$19</f>
        <v>33.3333333333333</v>
      </c>
      <c r="V7" s="11" t="n">
        <f aca="false">Допущения!$D$34/Допущения!$D$19</f>
        <v>33.3333333333333</v>
      </c>
      <c r="W7" s="11" t="n">
        <f aca="false">Допущения!$D$34/Допущения!$D$19</f>
        <v>33.3333333333333</v>
      </c>
      <c r="X7" s="11" t="n">
        <f aca="false">Допущения!$D$34/Допущения!$D$19</f>
        <v>33.3333333333333</v>
      </c>
      <c r="Y7" s="11" t="n">
        <f aca="false">Допущения!$D$34/Допущения!$D$19</f>
        <v>33.3333333333333</v>
      </c>
      <c r="Z7" s="8" t="s">
        <v>222</v>
      </c>
    </row>
    <row r="8" customFormat="false" ht="32.8" hidden="false" customHeight="false" outlineLevel="0" collapsed="false">
      <c r="A8" s="17" t="s">
        <v>223</v>
      </c>
      <c r="B8" s="11" t="n">
        <f aca="false">ROUND((B6+B7)*1,0)</f>
        <v>58</v>
      </c>
      <c r="C8" s="11" t="n">
        <f aca="false">ROUND((C6+C7)*MAX(0,1-B5/Допущения!$D$15),0)</f>
        <v>60</v>
      </c>
      <c r="D8" s="11" t="n">
        <f aca="false">ROUND((D6+D7)*MAX(0,1-C5/Допущения!$D$15),0)</f>
        <v>63</v>
      </c>
      <c r="E8" s="11" t="n">
        <f aca="false">ROUND((E6+E7)*MAX(0,1-D5/Допущения!$D$15),0)</f>
        <v>65</v>
      </c>
      <c r="F8" s="11" t="n">
        <f aca="false">ROUND((F6+F7)*MAX(0,1-E5/Допущения!$D$15),0)</f>
        <v>68</v>
      </c>
      <c r="G8" s="11" t="n">
        <f aca="false">ROUND((G6+G7)*MAX(0,1-F5/Допущения!$D$15),0)</f>
        <v>71</v>
      </c>
      <c r="H8" s="11" t="n">
        <f aca="false">ROUND((H6+H7)*MAX(0,1-G5/Допущения!$D$15),0)</f>
        <v>74</v>
      </c>
      <c r="I8" s="11" t="n">
        <f aca="false">ROUND((I6+I7)*MAX(0,1-H5/Допущения!$D$15),0)</f>
        <v>77</v>
      </c>
      <c r="J8" s="11" t="n">
        <f aca="false">ROUND((J6+J7)*MAX(0,1-I5/Допущения!$D$15),0)</f>
        <v>81</v>
      </c>
      <c r="K8" s="11" t="n">
        <f aca="false">ROUND((K6+K7)*MAX(0,1-J5/Допущения!$D$15),0)</f>
        <v>85</v>
      </c>
      <c r="L8" s="11" t="n">
        <f aca="false">ROUND((L6+L7)*MAX(0,1-K5/Допущения!$D$15),0)</f>
        <v>89</v>
      </c>
      <c r="M8" s="11" t="n">
        <f aca="false">ROUND((M6+M7)*MAX(0,1-L5/Допущения!$D$15),0)</f>
        <v>94</v>
      </c>
      <c r="N8" s="11" t="n">
        <f aca="false">ROUND((N6+N7)*MAX(0,1-M5/Допущения!$D$15),0)</f>
        <v>99</v>
      </c>
      <c r="O8" s="11" t="n">
        <f aca="false">ROUND((O6+O7)*MAX(0,1-N5/Допущения!$D$15),0)</f>
        <v>104</v>
      </c>
      <c r="P8" s="11" t="n">
        <f aca="false">ROUND((P6+P7)*MAX(0,1-O5/Допущения!$D$15),0)</f>
        <v>110</v>
      </c>
      <c r="Q8" s="11" t="n">
        <f aca="false">ROUND((Q6+Q7)*MAX(0,1-P5/Допущения!$D$15),0)</f>
        <v>116</v>
      </c>
      <c r="R8" s="11" t="n">
        <f aca="false">ROUND((R6+R7)*MAX(0,1-Q5/Допущения!$D$15),0)</f>
        <v>123</v>
      </c>
      <c r="S8" s="11" t="n">
        <f aca="false">ROUND((S6+S7)*MAX(0,1-R5/Допущения!$D$15),0)</f>
        <v>130</v>
      </c>
      <c r="T8" s="11" t="n">
        <f aca="false">ROUND((T6+T7)*MAX(0,1-S5/Допущения!$D$15),0)</f>
        <v>138</v>
      </c>
      <c r="U8" s="11" t="n">
        <f aca="false">ROUND((U6+U7)*MAX(0,1-T5/Допущения!$D$15),0)</f>
        <v>147</v>
      </c>
      <c r="V8" s="11" t="n">
        <f aca="false">ROUND((V6+V7)*MAX(0,1-U5/Допущения!$D$15),0)</f>
        <v>156</v>
      </c>
      <c r="W8" s="11" t="n">
        <f aca="false">ROUND((W6+W7)*MAX(0,1-V5/Допущения!$D$15),0)</f>
        <v>165</v>
      </c>
      <c r="X8" s="11" t="n">
        <f aca="false">ROUND((X6+X7)*MAX(0,1-W5/Допущения!$D$15),0)</f>
        <v>176</v>
      </c>
      <c r="Y8" s="11" t="n">
        <f aca="false">ROUND((Y6+Y7)*MAX(0,1-X5/Допущения!$D$15),0)</f>
        <v>187</v>
      </c>
      <c r="Z8" s="8" t="s">
        <v>224</v>
      </c>
    </row>
    <row r="9" customFormat="false" ht="15" hidden="false" customHeight="false" outlineLevel="0" collapsed="false">
      <c r="A9" s="17" t="s">
        <v>225</v>
      </c>
      <c r="B9" s="11" t="n">
        <f aca="false">IF(COLUMN()-1-Допущения!$D$21&lt;1,0,IFERROR(ROUND(INDEX($B$8:$Y$8,1,COLUMN()-1-Допущения!$D$21)*Допущения!$D$20,0),0))</f>
        <v>0</v>
      </c>
      <c r="C9" s="11" t="n">
        <f aca="false">IF(COLUMN()-1-Допущения!$D$21&lt;1,0,IFERROR(ROUND(INDEX($B$8:$Y$8,1,COLUMN()-1-Допущения!$D$21)*Допущения!$D$20,0),0))</f>
        <v>0</v>
      </c>
      <c r="D9" s="11" t="n">
        <f aca="false">IF(COLUMN()-1-Допущения!$D$21&lt;1,0,IFERROR(ROUND(INDEX($B$8:$Y$8,1,COLUMN()-1-Допущения!$D$21)*Допущения!$D$20,0),0))</f>
        <v>0</v>
      </c>
      <c r="E9" s="11" t="n">
        <f aca="false">IF(COLUMN()-1-Допущения!$D$21&lt;1,0,IFERROR(ROUND(INDEX($B$8:$Y$8,1,COLUMN()-1-Допущения!$D$21)*Допущения!$D$20,0),0))</f>
        <v>3</v>
      </c>
      <c r="F9" s="11" t="n">
        <f aca="false">IF(COLUMN()-1-Допущения!$D$21&lt;1,0,IFERROR(ROUND(INDEX($B$8:$Y$8,1,COLUMN()-1-Допущения!$D$21)*Допущения!$D$20,0),0))</f>
        <v>3</v>
      </c>
      <c r="G9" s="11" t="n">
        <f aca="false">IF(COLUMN()-1-Допущения!$D$21&lt;1,0,IFERROR(ROUND(INDEX($B$8:$Y$8,1,COLUMN()-1-Допущения!$D$21)*Допущения!$D$20,0),0))</f>
        <v>3</v>
      </c>
      <c r="H9" s="11" t="n">
        <f aca="false">IF(COLUMN()-1-Допущения!$D$21&lt;1,0,IFERROR(ROUND(INDEX($B$8:$Y$8,1,COLUMN()-1-Допущения!$D$21)*Допущения!$D$20,0),0))</f>
        <v>3</v>
      </c>
      <c r="I9" s="11" t="n">
        <f aca="false">IF(COLUMN()-1-Допущения!$D$21&lt;1,0,IFERROR(ROUND(INDEX($B$8:$Y$8,1,COLUMN()-1-Допущения!$D$21)*Допущения!$D$20,0),0))</f>
        <v>3</v>
      </c>
      <c r="J9" s="11" t="n">
        <f aca="false">IF(COLUMN()-1-Допущения!$D$21&lt;1,0,IFERROR(ROUND(INDEX($B$8:$Y$8,1,COLUMN()-1-Допущения!$D$21)*Допущения!$D$20,0),0))</f>
        <v>3</v>
      </c>
      <c r="K9" s="11" t="n">
        <f aca="false">IF(COLUMN()-1-Допущения!$D$21&lt;1,0,IFERROR(ROUND(INDEX($B$8:$Y$8,1,COLUMN()-1-Допущения!$D$21)*Допущения!$D$20,0),0))</f>
        <v>3</v>
      </c>
      <c r="L9" s="11" t="n">
        <f aca="false">IF(COLUMN()-1-Допущения!$D$21&lt;1,0,IFERROR(ROUND(INDEX($B$8:$Y$8,1,COLUMN()-1-Допущения!$D$21)*Допущения!$D$20,0),0))</f>
        <v>3</v>
      </c>
      <c r="M9" s="11" t="n">
        <f aca="false">IF(COLUMN()-1-Допущения!$D$21&lt;1,0,IFERROR(ROUND(INDEX($B$8:$Y$8,1,COLUMN()-1-Допущения!$D$21)*Допущения!$D$20,0),0))</f>
        <v>4</v>
      </c>
      <c r="N9" s="11" t="n">
        <f aca="false">IF(COLUMN()-1-Допущения!$D$21&lt;1,0,IFERROR(ROUND(INDEX($B$8:$Y$8,1,COLUMN()-1-Допущения!$D$21)*Допущения!$D$20,0),0))</f>
        <v>4</v>
      </c>
      <c r="O9" s="11" t="n">
        <f aca="false">IF(COLUMN()-1-Допущения!$D$21&lt;1,0,IFERROR(ROUND(INDEX($B$8:$Y$8,1,COLUMN()-1-Допущения!$D$21)*Допущения!$D$20,0),0))</f>
        <v>4</v>
      </c>
      <c r="P9" s="11" t="n">
        <f aca="false">IF(COLUMN()-1-Допущения!$D$21&lt;1,0,IFERROR(ROUND(INDEX($B$8:$Y$8,1,COLUMN()-1-Допущения!$D$21)*Допущения!$D$20,0),0))</f>
        <v>4</v>
      </c>
      <c r="Q9" s="11" t="n">
        <f aca="false">IF(COLUMN()-1-Допущения!$D$21&lt;1,0,IFERROR(ROUND(INDEX($B$8:$Y$8,1,COLUMN()-1-Допущения!$D$21)*Допущения!$D$20,0),0))</f>
        <v>4</v>
      </c>
      <c r="R9" s="11" t="n">
        <f aca="false">IF(COLUMN()-1-Допущения!$D$21&lt;1,0,IFERROR(ROUND(INDEX($B$8:$Y$8,1,COLUMN()-1-Допущения!$D$21)*Допущения!$D$20,0),0))</f>
        <v>5</v>
      </c>
      <c r="S9" s="11" t="n">
        <f aca="false">IF(COLUMN()-1-Допущения!$D$21&lt;1,0,IFERROR(ROUND(INDEX($B$8:$Y$8,1,COLUMN()-1-Допущения!$D$21)*Допущения!$D$20,0),0))</f>
        <v>5</v>
      </c>
      <c r="T9" s="11" t="n">
        <f aca="false">IF(COLUMN()-1-Допущения!$D$21&lt;1,0,IFERROR(ROUND(INDEX($B$8:$Y$8,1,COLUMN()-1-Допущения!$D$21)*Допущения!$D$20,0),0))</f>
        <v>5</v>
      </c>
      <c r="U9" s="11" t="n">
        <f aca="false">IF(COLUMN()-1-Допущения!$D$21&lt;1,0,IFERROR(ROUND(INDEX($B$8:$Y$8,1,COLUMN()-1-Допущения!$D$21)*Допущения!$D$20,0),0))</f>
        <v>6</v>
      </c>
      <c r="V9" s="11" t="n">
        <f aca="false">IF(COLUMN()-1-Допущения!$D$21&lt;1,0,IFERROR(ROUND(INDEX($B$8:$Y$8,1,COLUMN()-1-Допущения!$D$21)*Допущения!$D$20,0),0))</f>
        <v>6</v>
      </c>
      <c r="W9" s="11" t="n">
        <f aca="false">IF(COLUMN()-1-Допущения!$D$21&lt;1,0,IFERROR(ROUND(INDEX($B$8:$Y$8,1,COLUMN()-1-Допущения!$D$21)*Допущения!$D$20,0),0))</f>
        <v>6</v>
      </c>
      <c r="X9" s="11" t="n">
        <f aca="false">IF(COLUMN()-1-Допущения!$D$21&lt;1,0,IFERROR(ROUND(INDEX($B$8:$Y$8,1,COLUMN()-1-Допущения!$D$21)*Допущения!$D$20,0),0))</f>
        <v>7</v>
      </c>
      <c r="Y9" s="11" t="n">
        <f aca="false">IF(COLUMN()-1-Допущения!$D$21&lt;1,0,IFERROR(ROUND(INDEX($B$8:$Y$8,1,COLUMN()-1-Допущения!$D$21)*Допущения!$D$20,0),0))</f>
        <v>7</v>
      </c>
      <c r="Z9" s="8" t="s">
        <v>226</v>
      </c>
    </row>
    <row r="10" customFormat="false" ht="22.35" hidden="false" customHeight="false" outlineLevel="0" collapsed="false">
      <c r="A10" s="17" t="s">
        <v>227</v>
      </c>
      <c r="B10" s="11" t="n">
        <f aca="false">MIN(Допущения!$D$53+B9,Допущения!$D$15*Допущения!$D$16)</f>
        <v>0</v>
      </c>
      <c r="C10" s="11" t="n">
        <f aca="false">MIN(B10*(1-Допущения!$D$12*(1-Допущения!$D$10*1/24))+C9,Допущения!$D$15*Допущения!$D$16)</f>
        <v>0</v>
      </c>
      <c r="D10" s="11" t="n">
        <f aca="false">MIN(C10*(1-Допущения!$D$12*(1-Допущения!$D$10*2/24))+D9,Допущения!$D$15*Допущения!$D$16)</f>
        <v>0</v>
      </c>
      <c r="E10" s="11" t="n">
        <f aca="false">MIN(D10*(1-Допущения!$D$12*(1-Допущения!$D$10*3/24))+E9,Допущения!$D$15*Допущения!$D$16)</f>
        <v>3</v>
      </c>
      <c r="F10" s="11" t="n">
        <f aca="false">MIN(E10*(1-Допущения!$D$12*(1-Допущения!$D$10*4/24))+F9,Допущения!$D$15*Допущения!$D$16)</f>
        <v>5.7569</v>
      </c>
      <c r="G10" s="11" t="n">
        <f aca="false">MIN(F10*(1-Допущения!$D$12*(1-Допущения!$D$10*5/24))+G9,Допущения!$D$15*Допущения!$D$16)</f>
        <v>8.29610812916667</v>
      </c>
      <c r="H10" s="11" t="n">
        <f aca="false">MIN(G10*(1-Допущения!$D$12*(1-Допущения!$D$10*6/24))+H9,Допущения!$D$15*Допущения!$D$16)</f>
        <v>10.640300781556</v>
      </c>
      <c r="I10" s="11" t="n">
        <f aca="false">MIN(H10*(1-Допущения!$D$12*(1-Допущения!$D$10*7/24))+I9,Допущения!$D$15*Допущения!$D$16)</f>
        <v>12.8097366363824</v>
      </c>
      <c r="J10" s="11" t="n">
        <f aca="false">MIN(I10*(1-Допущения!$D$12*(1-Допущения!$D$10*8/24))+J9,Допущения!$D$15*Допущения!$D$16)</f>
        <v>14.8225329329385</v>
      </c>
      <c r="K10" s="11" t="n">
        <f aca="false">MIN(J10*(1-Допущения!$D$12*(1-Допущения!$D$10*9/24))+K9,Допущения!$D$15*Допущения!$D$16)</f>
        <v>16.6949087400652</v>
      </c>
      <c r="L10" s="11" t="n">
        <f aca="false">MIN(K10*(1-Допущения!$D$12*(1-Допущения!$D$10*10/24))+L9,Допущения!$D$15*Допущения!$D$16)</f>
        <v>18.4413993421653</v>
      </c>
      <c r="M10" s="11" t="n">
        <f aca="false">MIN(L10*(1-Допущения!$D$12*(1-Допущения!$D$10*11/24))+M9,Допущения!$D$15*Допущения!$D$16)</f>
        <v>21.0750453292387</v>
      </c>
      <c r="N10" s="11" t="n">
        <f aca="false">MIN(M10*(1-Допущения!$D$12*(1-Допущения!$D$10*12/24))+N9,Допущения!$D$15*Допущения!$D$16)</f>
        <v>23.5344595156714</v>
      </c>
      <c r="O10" s="11" t="n">
        <f aca="false">MIN(N10*(1-Допущения!$D$12*(1-Допущения!$D$10*13/24))+O9,Допущения!$D$15*Допущения!$D$16)</f>
        <v>25.8374288640955</v>
      </c>
      <c r="P10" s="11" t="n">
        <f aca="false">MIN(O10*(1-Допущения!$D$12*(1-Допущения!$D$10*14/24))+P9,Допущения!$D$15*Допущения!$D$16)</f>
        <v>27.9999570480439</v>
      </c>
      <c r="Q10" s="11" t="n">
        <f aca="false">MIN(P10*(1-Допущения!$D$12*(1-Допущения!$D$10*15/24))+Q9,Допущения!$D$15*Допущения!$D$16)</f>
        <v>30.0364600600499</v>
      </c>
      <c r="R10" s="11" t="n">
        <f aca="false">MIN(Q10*(1-Допущения!$D$12*(1-Допущения!$D$10*16/24))+R9,Допущения!$D$15*Допущения!$D$16)</f>
        <v>32.9599394545651</v>
      </c>
      <c r="S10" s="11" t="n">
        <f aca="false">MIN(R10*(1-Допущения!$D$12*(1-Допущения!$D$10*17/24))+S9,Допущения!$D$15*Допущения!$D$16)</f>
        <v>35.7139942468986</v>
      </c>
      <c r="T10" s="11" t="n">
        <f aca="false">MIN(S10*(1-Допущения!$D$12*(1-Допущения!$D$10*18/24))+T9,Допущения!$D$15*Допущения!$D$16)</f>
        <v>38.3157995332194</v>
      </c>
      <c r="U10" s="11" t="n">
        <f aca="false">MIN(T10*(1-Допущения!$D$12*(1-Допущения!$D$10*19/24))+U9,Допущения!$D$15*Допущения!$D$16)</f>
        <v>41.7808900957675</v>
      </c>
      <c r="V10" s="11" t="n">
        <f aca="false">MIN(U10*(1-Допущения!$D$12*(1-Допущения!$D$10*20/24))+V9,Допущения!$D$15*Допущения!$D$16)</f>
        <v>45.0581687578599</v>
      </c>
      <c r="W10" s="11" t="n">
        <f aca="false">MIN(V10*(1-Допущения!$D$12*(1-Допущения!$D$10*21/24))+W9,Допущения!$D$15*Допущения!$D$16)</f>
        <v>48.1665607778243</v>
      </c>
      <c r="X10" s="11" t="n">
        <f aca="false">MIN(W10*(1-Допущения!$D$12*(1-Допущения!$D$10*22/24))+X9,Допущения!$D$15*Допущения!$D$16)</f>
        <v>52.1232369126787</v>
      </c>
      <c r="Y10" s="11" t="n">
        <f aca="false">MIN(X10*(1-Допущения!$D$12*(1-Допущения!$D$10*23/24))+Y9,Допущения!$D$15*Допущения!$D$16)</f>
        <v>55.8816059370177</v>
      </c>
      <c r="Z10" s="8" t="s">
        <v>228</v>
      </c>
    </row>
    <row r="11" customFormat="false" ht="15" hidden="false" customHeight="false" outlineLevel="0" collapsed="false">
      <c r="A11" s="3" t="s">
        <v>229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customFormat="false" ht="22.35" hidden="false" customHeight="false" outlineLevel="0" collapsed="false">
      <c r="A12" s="17" t="s">
        <v>230</v>
      </c>
      <c r="B12" s="7" t="n">
        <f aca="false">B10*(Допущения!$D$8*(1-Допущения!$D$10*0/24)+Допущения!$D$9/12*Допущения!$D$10*0/24)</f>
        <v>0</v>
      </c>
      <c r="C12" s="7" t="n">
        <f aca="false">C10*(Допущения!$D$8*(1-Допущения!$D$10*1/24)+Допущения!$D$9/12*Допущения!$D$10*1/24)</f>
        <v>0</v>
      </c>
      <c r="D12" s="7" t="n">
        <f aca="false">D10*(Допущения!$D$8*(1-Допущения!$D$10*2/24)+Допущения!$D$9/12*Допущения!$D$10*2/24)</f>
        <v>0</v>
      </c>
      <c r="E12" s="7" t="n">
        <f aca="false">E10*(Допущения!$D$8*(1-Допущения!$D$10*3/24)+Допущения!$D$9/12*Допущения!$D$10*3/24)</f>
        <v>4443.925</v>
      </c>
      <c r="F12" s="7" t="n">
        <f aca="false">F10*(Допущения!$D$8*(1-Допущения!$D$10*4/24)+Допущения!$D$9/12*Допущения!$D$10*4/24)</f>
        <v>8511.06492555556</v>
      </c>
      <c r="G12" s="7" t="n">
        <f aca="false">G10*(Допущения!$D$8*(1-Допущения!$D$10*5/24)+Допущения!$D$9/12*Допущения!$D$10*5/24)</f>
        <v>12241.0227683094</v>
      </c>
      <c r="H12" s="7" t="n">
        <f aca="false">H10*(Допущения!$D$8*(1-Допущения!$D$10*6/24)+Допущения!$D$9/12*Допущения!$D$10*6/24)</f>
        <v>15669.0842692658</v>
      </c>
      <c r="I12" s="7" t="n">
        <f aca="false">I10*(Допущения!$D$8*(1-Допущения!$D$10*7/24)+Допущения!$D$9/12*Допущения!$D$10*7/24)</f>
        <v>18826.7190127036</v>
      </c>
      <c r="J12" s="7" t="n">
        <f aca="false">J10*(Допущения!$D$8*(1-Допущения!$D$10*8/24)+Допущения!$D$9/12*Допущения!$D$10*8/24)</f>
        <v>21742.020695655</v>
      </c>
      <c r="K12" s="7" t="n">
        <f aca="false">K10*(Допущения!$D$8*(1-Допущения!$D$10*9/24)+Допущения!$D$9/12*Допущения!$D$10*9/24)</f>
        <v>24440.0942773</v>
      </c>
      <c r="L12" s="7" t="n">
        <f aca="false">L10*(Допущения!$D$8*(1-Допущения!$D$10*10/24)+Допущения!$D$9/12*Допущения!$D$10*10/24)</f>
        <v>26943.3966999964</v>
      </c>
      <c r="M12" s="7" t="n">
        <f aca="false">M10*(Допущения!$D$8*(1-Допущения!$D$10*11/24)+Допущения!$D$9/12*Допущения!$D$10*11/24)</f>
        <v>30730.1675542814</v>
      </c>
      <c r="N12" s="7" t="n">
        <f aca="false">N10*(Допущения!$D$8*(1-Допущения!$D$10*12/24)+Допущения!$D$9/12*Допущения!$D$10*12/24)</f>
        <v>34248.1299691889</v>
      </c>
      <c r="O12" s="7" t="n">
        <f aca="false">O10*(Допущения!$D$8*(1-Допущения!$D$10*13/24)+Допущения!$D$9/12*Допущения!$D$10*13/24)</f>
        <v>37524.6309575905</v>
      </c>
      <c r="P12" s="7" t="n">
        <f aca="false">P10*(Допущения!$D$8*(1-Допущения!$D$10*14/24)+Допущения!$D$9/12*Допущения!$D$10*14/24)</f>
        <v>40584.2266326534</v>
      </c>
      <c r="Q12" s="7" t="n">
        <f aca="false">Q10*(Допущения!$D$8*(1-Допущения!$D$10*15/24)+Допущения!$D$9/12*Допущения!$D$10*15/24)</f>
        <v>43448.9909960313</v>
      </c>
      <c r="R12" s="7" t="n">
        <f aca="false">R10*(Допущения!$D$8*(1-Допущения!$D$10*16/24)+Допущения!$D$9/12*Допущения!$D$10*16/24)</f>
        <v>47582.4334828081</v>
      </c>
      <c r="S12" s="7" t="n">
        <f aca="false">S10*(Допущения!$D$8*(1-Допущения!$D$10*17/24)+Допущения!$D$9/12*Допущения!$D$10*17/24)</f>
        <v>51454.8380056796</v>
      </c>
      <c r="T12" s="7" t="n">
        <f aca="false">T10*(Допущения!$D$8*(1-Допущения!$D$10*18/24)+Допущения!$D$9/12*Допущения!$D$10*18/24)</f>
        <v>55092.3723588394</v>
      </c>
      <c r="U12" s="7" t="n">
        <f aca="false">U10*(Допущения!$D$8*(1-Допущения!$D$10*19/24)+Допущения!$D$9/12*Допущения!$D$10*19/24)</f>
        <v>59953.6043009495</v>
      </c>
      <c r="V12" s="7" t="n">
        <f aca="false">V10*(Допущения!$D$8*(1-Допущения!$D$10*20/24)+Допущения!$D$9/12*Допущения!$D$10*20/24)</f>
        <v>64525.8008928531</v>
      </c>
      <c r="W12" s="7" t="n">
        <f aca="false">W10*(Допущения!$D$8*(1-Допущения!$D$10*21/24)+Допущения!$D$9/12*Допущения!$D$10*21/24)</f>
        <v>68837.6417236341</v>
      </c>
      <c r="X12" s="7" t="n">
        <f aca="false">X10*(Допущения!$D$8*(1-Допущения!$D$10*22/24)+Допущения!$D$9/12*Допущения!$D$10*22/24)</f>
        <v>74341.3457937849</v>
      </c>
      <c r="Y12" s="7" t="n">
        <f aca="false">Y10*(Допущения!$D$8*(1-Допущения!$D$10*23/24)+Допущения!$D$9/12*Допущения!$D$10*23/24)</f>
        <v>79539.85994387</v>
      </c>
      <c r="Z12" s="8" t="s">
        <v>231</v>
      </c>
    </row>
    <row r="13" customFormat="false" ht="15" hidden="false" customHeight="false" outlineLevel="0" collapsed="false">
      <c r="A13" s="17" t="s">
        <v>232</v>
      </c>
      <c r="B13" s="7" t="n">
        <f aca="false">B12+B9*Допущения!$D$10*0/24*(Допущения!$D$9-Допущения!$D$9/12)</f>
        <v>0</v>
      </c>
      <c r="C13" s="7" t="n">
        <f aca="false">C12+C9*Допущения!$D$10*1/24*(Допущения!$D$9-Допущения!$D$9/12)</f>
        <v>0</v>
      </c>
      <c r="D13" s="7" t="n">
        <f aca="false">D12+D9*Допущения!$D$10*2/24*(Допущения!$D$9-Допущения!$D$9/12)</f>
        <v>0</v>
      </c>
      <c r="E13" s="7" t="n">
        <f aca="false">E12+E9*Допущения!$D$10*3/24*(Допущения!$D$9-Допущения!$D$9/12)</f>
        <v>5878.05</v>
      </c>
      <c r="F13" s="7" t="n">
        <f aca="false">F12+F9*Допущения!$D$10*4/24*(Допущения!$D$9-Допущения!$D$9/12)</f>
        <v>10423.2315922222</v>
      </c>
      <c r="G13" s="7" t="n">
        <f aca="false">G12+G9*Допущения!$D$10*5/24*(Допущения!$D$9-Допущения!$D$9/12)</f>
        <v>14631.2311016428</v>
      </c>
      <c r="H13" s="7" t="n">
        <f aca="false">H12+H9*Допущения!$D$10*6/24*(Допущения!$D$9-Допущения!$D$9/12)</f>
        <v>18537.3342692658</v>
      </c>
      <c r="I13" s="7" t="n">
        <f aca="false">I12+I9*Допущения!$D$10*7/24*(Допущения!$D$9-Допущения!$D$9/12)</f>
        <v>22173.0106793703</v>
      </c>
      <c r="J13" s="7" t="n">
        <f aca="false">J12+J9*Допущения!$D$10*8/24*(Допущения!$D$9-Допущения!$D$9/12)</f>
        <v>25566.3540289883</v>
      </c>
      <c r="K13" s="7" t="n">
        <f aca="false">K12+K9*Допущения!$D$10*9/24*(Допущения!$D$9-Допущения!$D$9/12)</f>
        <v>28742.4692773</v>
      </c>
      <c r="L13" s="7" t="n">
        <f aca="false">L12+L9*Допущения!$D$10*10/24*(Допущения!$D$9-Допущения!$D$9/12)</f>
        <v>31723.8133666631</v>
      </c>
      <c r="M13" s="7" t="n">
        <f aca="false">M12+M9*Допущения!$D$10*11/24*(Допущения!$D$9-Допущения!$D$9/12)</f>
        <v>37741.4453320592</v>
      </c>
      <c r="N13" s="7" t="n">
        <f aca="false">N12+N9*Допущения!$D$10*12/24*(Допущения!$D$9-Допущения!$D$9/12)</f>
        <v>41896.7966358555</v>
      </c>
      <c r="O13" s="7" t="n">
        <f aca="false">O12+O9*Допущения!$D$10*13/24*(Допущения!$D$9-Допущения!$D$9/12)</f>
        <v>45810.686513146</v>
      </c>
      <c r="P13" s="7" t="n">
        <f aca="false">P12+P9*Допущения!$D$10*14/24*(Допущения!$D$9-Допущения!$D$9/12)</f>
        <v>49507.6710770979</v>
      </c>
      <c r="Q13" s="7" t="n">
        <f aca="false">Q12+Q9*Допущения!$D$10*15/24*(Допущения!$D$9-Допущения!$D$9/12)</f>
        <v>53009.8243293646</v>
      </c>
      <c r="R13" s="7" t="n">
        <f aca="false">R12+R9*Допущения!$D$10*16/24*(Допущения!$D$9-Допущения!$D$9/12)</f>
        <v>60330.2112605859</v>
      </c>
      <c r="S13" s="7" t="n">
        <f aca="false">S12+S9*Допущения!$D$10*17/24*(Допущения!$D$9-Допущения!$D$9/12)</f>
        <v>64999.3518945685</v>
      </c>
      <c r="T13" s="7" t="n">
        <f aca="false">T12+T9*Допущения!$D$10*18/24*(Допущения!$D$9-Допущения!$D$9/12)</f>
        <v>69433.6223588394</v>
      </c>
      <c r="U13" s="7" t="n">
        <f aca="false">U12+U9*Допущения!$D$10*19/24*(Допущения!$D$9-Допущения!$D$9/12)</f>
        <v>78119.1876342829</v>
      </c>
      <c r="V13" s="7" t="n">
        <f aca="false">V12+V9*Допущения!$D$10*20/24*(Допущения!$D$9-Допущения!$D$9/12)</f>
        <v>83647.4675595198</v>
      </c>
      <c r="W13" s="7" t="n">
        <f aca="false">W12+W9*Допущения!$D$10*21/24*(Допущения!$D$9-Допущения!$D$9/12)</f>
        <v>88915.3917236341</v>
      </c>
      <c r="X13" s="7" t="n">
        <f aca="false">X12+X9*Допущения!$D$10*22/24*(Допущения!$D$9-Допущения!$D$9/12)</f>
        <v>98880.8180160071</v>
      </c>
      <c r="Y13" s="7" t="n">
        <f aca="false">Y12+Y9*Допущения!$D$10*23/24*(Допущения!$D$9-Допущения!$D$9/12)</f>
        <v>105194.762721648</v>
      </c>
      <c r="Z13" s="8" t="s">
        <v>233</v>
      </c>
    </row>
    <row r="14" customFormat="false" ht="15" hidden="false" customHeight="false" outlineLevel="0" collapsed="false">
      <c r="A14" s="3" t="s">
        <v>234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customFormat="false" ht="15" hidden="false" customHeight="false" outlineLevel="0" collapsed="false">
      <c r="A15" s="17" t="s">
        <v>129</v>
      </c>
      <c r="B15" s="7" t="n">
        <f aca="false">Допущения!$D$23</f>
        <v>5300</v>
      </c>
      <c r="C15" s="7" t="n">
        <f aca="false">Допущения!$D$23</f>
        <v>5300</v>
      </c>
      <c r="D15" s="7" t="n">
        <f aca="false">Допущения!$D$23</f>
        <v>5300</v>
      </c>
      <c r="E15" s="7" t="n">
        <f aca="false">Допущения!$D$23</f>
        <v>5300</v>
      </c>
      <c r="F15" s="7" t="n">
        <f aca="false">Допущения!$D$23</f>
        <v>5300</v>
      </c>
      <c r="G15" s="7" t="n">
        <f aca="false">Допущения!$D$23</f>
        <v>5300</v>
      </c>
      <c r="H15" s="7" t="n">
        <f aca="false">Допущения!$D$23</f>
        <v>5300</v>
      </c>
      <c r="I15" s="7" t="n">
        <f aca="false">Допущения!$D$23</f>
        <v>5300</v>
      </c>
      <c r="J15" s="7" t="n">
        <f aca="false">Допущения!$D$23</f>
        <v>5300</v>
      </c>
      <c r="K15" s="7" t="n">
        <f aca="false">Допущения!$D$23</f>
        <v>5300</v>
      </c>
      <c r="L15" s="7" t="n">
        <f aca="false">Допущения!$D$23</f>
        <v>5300</v>
      </c>
      <c r="M15" s="7" t="n">
        <f aca="false">Допущения!$D$23</f>
        <v>5300</v>
      </c>
      <c r="N15" s="7" t="n">
        <f aca="false">Допущения!$D$23</f>
        <v>5300</v>
      </c>
      <c r="O15" s="7" t="n">
        <f aca="false">Допущения!$D$23</f>
        <v>5300</v>
      </c>
      <c r="P15" s="7" t="n">
        <f aca="false">Допущения!$D$23</f>
        <v>5300</v>
      </c>
      <c r="Q15" s="7" t="n">
        <f aca="false">Допущения!$D$23</f>
        <v>5300</v>
      </c>
      <c r="R15" s="7" t="n">
        <f aca="false">Допущения!$D$23</f>
        <v>5300</v>
      </c>
      <c r="S15" s="7" t="n">
        <f aca="false">Допущения!$D$23</f>
        <v>5300</v>
      </c>
      <c r="T15" s="7" t="n">
        <f aca="false">Допущения!$D$23</f>
        <v>5300</v>
      </c>
      <c r="U15" s="7" t="n">
        <f aca="false">Допущения!$D$23</f>
        <v>5300</v>
      </c>
      <c r="V15" s="7" t="n">
        <f aca="false">Допущения!$D$23</f>
        <v>5300</v>
      </c>
      <c r="W15" s="7" t="n">
        <f aca="false">Допущения!$D$23</f>
        <v>5300</v>
      </c>
      <c r="X15" s="7" t="n">
        <f aca="false">Допущения!$D$23</f>
        <v>5300</v>
      </c>
      <c r="Y15" s="7" t="n">
        <f aca="false">Допущения!$D$23</f>
        <v>5300</v>
      </c>
    </row>
    <row r="16" customFormat="false" ht="15" hidden="false" customHeight="false" outlineLevel="0" collapsed="false">
      <c r="A16" s="17" t="s">
        <v>131</v>
      </c>
      <c r="B16" s="7" t="n">
        <f aca="false">Допущения!$D$24+B10*Допущения!$D$28</f>
        <v>7000</v>
      </c>
      <c r="C16" s="7" t="n">
        <f aca="false">Допущения!$D$24+C10*Допущения!$D$28</f>
        <v>7000</v>
      </c>
      <c r="D16" s="7" t="n">
        <f aca="false">Допущения!$D$24+D10*Допущения!$D$28</f>
        <v>7000</v>
      </c>
      <c r="E16" s="7" t="n">
        <f aca="false">Допущения!$D$24+E10*Допущения!$D$28</f>
        <v>7330</v>
      </c>
      <c r="F16" s="7" t="n">
        <f aca="false">Допущения!$D$24+F10*Допущения!$D$28</f>
        <v>7633.259</v>
      </c>
      <c r="G16" s="7" t="n">
        <f aca="false">Допущения!$D$24+G10*Допущения!$D$28</f>
        <v>7912.57189420833</v>
      </c>
      <c r="H16" s="7" t="n">
        <f aca="false">Допущения!$D$24+H10*Допущения!$D$28</f>
        <v>8170.43308597116</v>
      </c>
      <c r="I16" s="7" t="n">
        <f aca="false">Допущения!$D$24+I10*Допущения!$D$28</f>
        <v>8409.07103000207</v>
      </c>
      <c r="J16" s="7" t="n">
        <f aca="false">Допущения!$D$24+J10*Допущения!$D$28</f>
        <v>8630.47862262324</v>
      </c>
      <c r="K16" s="7" t="n">
        <f aca="false">Допущения!$D$24+K10*Допущения!$D$28</f>
        <v>8836.43996140718</v>
      </c>
      <c r="L16" s="7" t="n">
        <f aca="false">Допущения!$D$24+L10*Допущения!$D$28</f>
        <v>9028.55392763819</v>
      </c>
      <c r="M16" s="7" t="n">
        <f aca="false">Допущения!$D$24+M10*Допущения!$D$28</f>
        <v>9318.25498621626</v>
      </c>
      <c r="N16" s="7" t="n">
        <f aca="false">Допущения!$D$24+N10*Допущения!$D$28</f>
        <v>9588.79054672385</v>
      </c>
      <c r="O16" s="7" t="n">
        <f aca="false">Допущения!$D$24+O10*Допущения!$D$28</f>
        <v>9842.11717505051</v>
      </c>
      <c r="P16" s="7" t="n">
        <f aca="false">Допущения!$D$24+P10*Допущения!$D$28</f>
        <v>10079.9952752848</v>
      </c>
      <c r="Q16" s="7" t="n">
        <f aca="false">Допущения!$D$24+Q10*Допущения!$D$28</f>
        <v>10304.0106066055</v>
      </c>
      <c r="R16" s="7" t="n">
        <f aca="false">Допущения!$D$24+R10*Допущения!$D$28</f>
        <v>10625.5933400022</v>
      </c>
      <c r="S16" s="7" t="n">
        <f aca="false">Допущения!$D$24+S10*Допущения!$D$28</f>
        <v>10928.5393671588</v>
      </c>
      <c r="T16" s="7" t="n">
        <f aca="false">Допущения!$D$24+T10*Допущения!$D$28</f>
        <v>11214.7379486541</v>
      </c>
      <c r="U16" s="7" t="n">
        <f aca="false">Допущения!$D$24+U10*Допущения!$D$28</f>
        <v>11595.8979105344</v>
      </c>
      <c r="V16" s="7" t="n">
        <f aca="false">Допущения!$D$24+V10*Допущения!$D$28</f>
        <v>11956.3985633646</v>
      </c>
      <c r="W16" s="7" t="n">
        <f aca="false">Допущения!$D$24+W10*Допущения!$D$28</f>
        <v>12298.3216855607</v>
      </c>
      <c r="X16" s="7" t="n">
        <f aca="false">Допущения!$D$24+X10*Допущения!$D$28</f>
        <v>12733.5560603947</v>
      </c>
      <c r="Y16" s="7" t="n">
        <f aca="false">Допущения!$D$24+Y10*Допущения!$D$28</f>
        <v>13146.976653072</v>
      </c>
      <c r="Z16" s="8" t="s">
        <v>235</v>
      </c>
    </row>
    <row r="17" customFormat="false" ht="15" hidden="false" customHeight="false" outlineLevel="0" collapsed="false">
      <c r="A17" s="17" t="s">
        <v>133</v>
      </c>
      <c r="B17" s="7" t="n">
        <f aca="false">Допущения!$D$25</f>
        <v>20000</v>
      </c>
      <c r="C17" s="7" t="n">
        <f aca="false">Допущения!$D$25</f>
        <v>20000</v>
      </c>
      <c r="D17" s="7" t="n">
        <f aca="false">Допущения!$D$25</f>
        <v>20000</v>
      </c>
      <c r="E17" s="7" t="n">
        <f aca="false">Допущения!$D$25</f>
        <v>20000</v>
      </c>
      <c r="F17" s="7" t="n">
        <f aca="false">Допущения!$D$25</f>
        <v>20000</v>
      </c>
      <c r="G17" s="7" t="n">
        <f aca="false">Допущения!$D$25</f>
        <v>20000</v>
      </c>
      <c r="H17" s="7" t="n">
        <f aca="false">Допущения!$D$25</f>
        <v>20000</v>
      </c>
      <c r="I17" s="7" t="n">
        <f aca="false">Допущения!$D$25</f>
        <v>20000</v>
      </c>
      <c r="J17" s="7" t="n">
        <f aca="false">Допущения!$D$25</f>
        <v>20000</v>
      </c>
      <c r="K17" s="7" t="n">
        <f aca="false">Допущения!$D$25</f>
        <v>20000</v>
      </c>
      <c r="L17" s="7" t="n">
        <f aca="false">Допущения!$D$25</f>
        <v>20000</v>
      </c>
      <c r="M17" s="7" t="n">
        <f aca="false">Допущения!$D$25</f>
        <v>20000</v>
      </c>
      <c r="N17" s="7" t="n">
        <f aca="false">Допущения!$D$25</f>
        <v>20000</v>
      </c>
      <c r="O17" s="7" t="n">
        <f aca="false">Допущения!$D$25</f>
        <v>20000</v>
      </c>
      <c r="P17" s="7" t="n">
        <f aca="false">Допущения!$D$25</f>
        <v>20000</v>
      </c>
      <c r="Q17" s="7" t="n">
        <f aca="false">Допущения!$D$25</f>
        <v>20000</v>
      </c>
      <c r="R17" s="7" t="n">
        <f aca="false">Допущения!$D$25</f>
        <v>20000</v>
      </c>
      <c r="S17" s="7" t="n">
        <f aca="false">Допущения!$D$25</f>
        <v>20000</v>
      </c>
      <c r="T17" s="7" t="n">
        <f aca="false">Допущения!$D$25</f>
        <v>20000</v>
      </c>
      <c r="U17" s="7" t="n">
        <f aca="false">Допущения!$D$25</f>
        <v>20000</v>
      </c>
      <c r="V17" s="7" t="n">
        <f aca="false">Допущения!$D$25</f>
        <v>20000</v>
      </c>
      <c r="W17" s="7" t="n">
        <f aca="false">Допущения!$D$25</f>
        <v>20000</v>
      </c>
      <c r="X17" s="7" t="n">
        <f aca="false">Допущения!$D$25</f>
        <v>20000</v>
      </c>
      <c r="Y17" s="7" t="n">
        <f aca="false">Допущения!$D$25</f>
        <v>20000</v>
      </c>
    </row>
    <row r="18" customFormat="false" ht="15" hidden="false" customHeight="false" outlineLevel="0" collapsed="false">
      <c r="A18" s="17" t="s">
        <v>236</v>
      </c>
      <c r="B18" s="7" t="n">
        <f aca="false">Допущения!$D$30</f>
        <v>8000</v>
      </c>
      <c r="C18" s="7" t="n">
        <f aca="false">Допущения!$D$30</f>
        <v>8000</v>
      </c>
      <c r="D18" s="7" t="n">
        <f aca="false">Допущения!$D$30</f>
        <v>8000</v>
      </c>
      <c r="E18" s="7" t="n">
        <f aca="false">Допущения!$D$30</f>
        <v>8000</v>
      </c>
      <c r="F18" s="7" t="n">
        <f aca="false">Допущения!$D$30</f>
        <v>8000</v>
      </c>
      <c r="G18" s="7" t="n">
        <f aca="false">Допущения!$D$30</f>
        <v>8000</v>
      </c>
      <c r="H18" s="7" t="n">
        <f aca="false">Допущения!$D$30</f>
        <v>8000</v>
      </c>
      <c r="I18" s="7" t="n">
        <f aca="false">Допущения!$D$30</f>
        <v>8000</v>
      </c>
      <c r="J18" s="7" t="n">
        <f aca="false">Допущения!$D$30</f>
        <v>8000</v>
      </c>
      <c r="K18" s="7" t="n">
        <f aca="false">Допущения!$D$30</f>
        <v>8000</v>
      </c>
      <c r="L18" s="7" t="n">
        <f aca="false">Допущения!$D$30</f>
        <v>8000</v>
      </c>
      <c r="M18" s="7" t="n">
        <f aca="false">Допущения!$D$30</f>
        <v>8000</v>
      </c>
      <c r="N18" s="7" t="n">
        <f aca="false">Допущения!$D$30</f>
        <v>8000</v>
      </c>
      <c r="O18" s="7" t="n">
        <f aca="false">Допущения!$D$30</f>
        <v>8000</v>
      </c>
      <c r="P18" s="7" t="n">
        <f aca="false">Допущения!$D$30</f>
        <v>8000</v>
      </c>
      <c r="Q18" s="7" t="n">
        <f aca="false">Допущения!$D$30</f>
        <v>8000</v>
      </c>
      <c r="R18" s="7" t="n">
        <f aca="false">Допущения!$D$30</f>
        <v>8000</v>
      </c>
      <c r="S18" s="7" t="n">
        <f aca="false">Допущения!$D$30</f>
        <v>8000</v>
      </c>
      <c r="T18" s="7" t="n">
        <f aca="false">Допущения!$D$30</f>
        <v>8000</v>
      </c>
      <c r="U18" s="7" t="n">
        <f aca="false">Допущения!$D$30</f>
        <v>8000</v>
      </c>
      <c r="V18" s="7" t="n">
        <f aca="false">Допущения!$D$30</f>
        <v>8000</v>
      </c>
      <c r="W18" s="7" t="n">
        <f aca="false">Допущения!$D$30</f>
        <v>8000</v>
      </c>
      <c r="X18" s="7" t="n">
        <f aca="false">Допущения!$D$30</f>
        <v>8000</v>
      </c>
      <c r="Y18" s="7" t="n">
        <f aca="false">Допущения!$D$30</f>
        <v>8000</v>
      </c>
    </row>
    <row r="19" customFormat="false" ht="15" hidden="false" customHeight="false" outlineLevel="0" collapsed="false">
      <c r="A19" s="17" t="s">
        <v>144</v>
      </c>
      <c r="B19" s="7" t="n">
        <f aca="false">Допущения!$D$31</f>
        <v>2500</v>
      </c>
      <c r="C19" s="7" t="n">
        <f aca="false">Допущения!$D$31</f>
        <v>2500</v>
      </c>
      <c r="D19" s="7" t="n">
        <f aca="false">Допущения!$D$31</f>
        <v>2500</v>
      </c>
      <c r="E19" s="7" t="n">
        <f aca="false">Допущения!$D$31</f>
        <v>2500</v>
      </c>
      <c r="F19" s="7" t="n">
        <f aca="false">Допущения!$D$31</f>
        <v>2500</v>
      </c>
      <c r="G19" s="7" t="n">
        <f aca="false">Допущения!$D$31</f>
        <v>2500</v>
      </c>
      <c r="H19" s="7" t="n">
        <f aca="false">Допущения!$D$31</f>
        <v>2500</v>
      </c>
      <c r="I19" s="7" t="n">
        <f aca="false">Допущения!$D$31</f>
        <v>2500</v>
      </c>
      <c r="J19" s="7" t="n">
        <f aca="false">Допущения!$D$31</f>
        <v>2500</v>
      </c>
      <c r="K19" s="7" t="n">
        <f aca="false">Допущения!$D$31</f>
        <v>2500</v>
      </c>
      <c r="L19" s="7" t="n">
        <f aca="false">Допущения!$D$31</f>
        <v>2500</v>
      </c>
      <c r="M19" s="7" t="n">
        <f aca="false">Допущения!$D$31</f>
        <v>2500</v>
      </c>
      <c r="N19" s="7" t="n">
        <f aca="false">Допущения!$D$31</f>
        <v>2500</v>
      </c>
      <c r="O19" s="7" t="n">
        <f aca="false">Допущения!$D$31</f>
        <v>2500</v>
      </c>
      <c r="P19" s="7" t="n">
        <f aca="false">Допущения!$D$31</f>
        <v>2500</v>
      </c>
      <c r="Q19" s="7" t="n">
        <f aca="false">Допущения!$D$31</f>
        <v>2500</v>
      </c>
      <c r="R19" s="7" t="n">
        <f aca="false">Допущения!$D$31</f>
        <v>2500</v>
      </c>
      <c r="S19" s="7" t="n">
        <f aca="false">Допущения!$D$31</f>
        <v>2500</v>
      </c>
      <c r="T19" s="7" t="n">
        <f aca="false">Допущения!$D$31</f>
        <v>2500</v>
      </c>
      <c r="U19" s="7" t="n">
        <f aca="false">Допущения!$D$31</f>
        <v>2500</v>
      </c>
      <c r="V19" s="7" t="n">
        <f aca="false">Допущения!$D$31</f>
        <v>2500</v>
      </c>
      <c r="W19" s="7" t="n">
        <f aca="false">Допущения!$D$31</f>
        <v>2500</v>
      </c>
      <c r="X19" s="7" t="n">
        <f aca="false">Допущения!$D$31</f>
        <v>2500</v>
      </c>
      <c r="Y19" s="7" t="n">
        <f aca="false">Допущения!$D$31</f>
        <v>2500</v>
      </c>
      <c r="Z19" s="8" t="s">
        <v>237</v>
      </c>
    </row>
    <row r="20" customFormat="false" ht="15" hidden="false" customHeight="false" outlineLevel="0" collapsed="false">
      <c r="A20" s="17" t="s">
        <v>238</v>
      </c>
      <c r="B20" s="7" t="n">
        <f aca="false">Допущения!$D$32</f>
        <v>12000</v>
      </c>
      <c r="C20" s="7" t="n">
        <f aca="false">Допущения!$D$32</f>
        <v>12000</v>
      </c>
      <c r="D20" s="7" t="n">
        <f aca="false">Допущения!$D$32</f>
        <v>12000</v>
      </c>
      <c r="E20" s="7" t="n">
        <f aca="false">Допущения!$D$32</f>
        <v>12000</v>
      </c>
      <c r="F20" s="7" t="n">
        <f aca="false">Допущения!$D$32</f>
        <v>12000</v>
      </c>
      <c r="G20" s="7" t="n">
        <f aca="false">Допущения!$D$32</f>
        <v>12000</v>
      </c>
      <c r="H20" s="7" t="n">
        <f aca="false">Допущения!$D$32</f>
        <v>12000</v>
      </c>
      <c r="I20" s="7" t="n">
        <f aca="false">Допущения!$D$32</f>
        <v>12000</v>
      </c>
      <c r="J20" s="7" t="n">
        <f aca="false">Допущения!$D$32</f>
        <v>12000</v>
      </c>
      <c r="K20" s="7" t="n">
        <f aca="false">Допущения!$D$32</f>
        <v>12000</v>
      </c>
      <c r="L20" s="7" t="n">
        <f aca="false">Допущения!$D$32</f>
        <v>12000</v>
      </c>
      <c r="M20" s="7" t="n">
        <f aca="false">Допущения!$D$32</f>
        <v>12000</v>
      </c>
      <c r="N20" s="7" t="n">
        <f aca="false">Допущения!$D$32</f>
        <v>12000</v>
      </c>
      <c r="O20" s="7" t="n">
        <f aca="false">Допущения!$D$32</f>
        <v>12000</v>
      </c>
      <c r="P20" s="7" t="n">
        <f aca="false">Допущения!$D$32</f>
        <v>12000</v>
      </c>
      <c r="Q20" s="7" t="n">
        <f aca="false">Допущения!$D$32</f>
        <v>12000</v>
      </c>
      <c r="R20" s="7" t="n">
        <f aca="false">Допущения!$D$32</f>
        <v>12000</v>
      </c>
      <c r="S20" s="7" t="n">
        <f aca="false">Допущения!$D$32</f>
        <v>12000</v>
      </c>
      <c r="T20" s="7" t="n">
        <f aca="false">Допущения!$D$32</f>
        <v>12000</v>
      </c>
      <c r="U20" s="7" t="n">
        <f aca="false">Допущения!$D$32</f>
        <v>12000</v>
      </c>
      <c r="V20" s="7" t="n">
        <f aca="false">Допущения!$D$32</f>
        <v>12000</v>
      </c>
      <c r="W20" s="7" t="n">
        <f aca="false">Допущения!$D$32</f>
        <v>12000</v>
      </c>
      <c r="X20" s="7" t="n">
        <f aca="false">Допущения!$D$32</f>
        <v>12000</v>
      </c>
      <c r="Y20" s="7" t="n">
        <f aca="false">Допущения!$D$32</f>
        <v>12000</v>
      </c>
    </row>
    <row r="21" customFormat="false" ht="15" hidden="false" customHeight="false" outlineLevel="0" collapsed="false">
      <c r="A21" s="17" t="s">
        <v>239</v>
      </c>
      <c r="B21" s="7" t="n">
        <f aca="false">Допущения!$D$26</f>
        <v>3000</v>
      </c>
      <c r="C21" s="7" t="n">
        <f aca="false">Допущения!$D$26</f>
        <v>3000</v>
      </c>
      <c r="D21" s="7" t="n">
        <f aca="false">Допущения!$D$26</f>
        <v>3000</v>
      </c>
      <c r="E21" s="7" t="n">
        <f aca="false">Допущения!$D$26</f>
        <v>3000</v>
      </c>
      <c r="F21" s="7" t="n">
        <f aca="false">Допущения!$D$26</f>
        <v>3000</v>
      </c>
      <c r="G21" s="7" t="n">
        <f aca="false">Допущения!$D$26</f>
        <v>3000</v>
      </c>
      <c r="H21" s="7" t="n">
        <f aca="false">Допущения!$D$26</f>
        <v>3000</v>
      </c>
      <c r="I21" s="7" t="n">
        <f aca="false">Допущения!$D$26</f>
        <v>3000</v>
      </c>
      <c r="J21" s="7" t="n">
        <f aca="false">Допущения!$D$26</f>
        <v>3000</v>
      </c>
      <c r="K21" s="7" t="n">
        <f aca="false">Допущения!$D$26</f>
        <v>3000</v>
      </c>
      <c r="L21" s="7" t="n">
        <f aca="false">Допущения!$D$26</f>
        <v>3000</v>
      </c>
      <c r="M21" s="7" t="n">
        <f aca="false">Допущения!$D$26</f>
        <v>3000</v>
      </c>
      <c r="N21" s="7" t="n">
        <f aca="false">Допущения!$D$26</f>
        <v>3000</v>
      </c>
      <c r="O21" s="7" t="n">
        <f aca="false">Допущения!$D$26</f>
        <v>3000</v>
      </c>
      <c r="P21" s="7" t="n">
        <f aca="false">Допущения!$D$26</f>
        <v>3000</v>
      </c>
      <c r="Q21" s="7" t="n">
        <f aca="false">Допущения!$D$26</f>
        <v>3000</v>
      </c>
      <c r="R21" s="7" t="n">
        <f aca="false">Допущения!$D$26</f>
        <v>3000</v>
      </c>
      <c r="S21" s="7" t="n">
        <f aca="false">Допущения!$D$26</f>
        <v>3000</v>
      </c>
      <c r="T21" s="7" t="n">
        <f aca="false">Допущения!$D$26</f>
        <v>3000</v>
      </c>
      <c r="U21" s="7" t="n">
        <f aca="false">Допущения!$D$26</f>
        <v>3000</v>
      </c>
      <c r="V21" s="7" t="n">
        <f aca="false">Допущения!$D$26</f>
        <v>3000</v>
      </c>
      <c r="W21" s="7" t="n">
        <f aca="false">Допущения!$D$26</f>
        <v>3000</v>
      </c>
      <c r="X21" s="7" t="n">
        <f aca="false">Допущения!$D$26</f>
        <v>3000</v>
      </c>
      <c r="Y21" s="7" t="n">
        <f aca="false">Допущения!$D$26</f>
        <v>3000</v>
      </c>
    </row>
    <row r="22" customFormat="false" ht="15" hidden="false" customHeight="false" outlineLevel="0" collapsed="false">
      <c r="A22" s="17" t="s">
        <v>137</v>
      </c>
      <c r="B22" s="7" t="n">
        <f aca="false">Допущения!$D$27</f>
        <v>1908</v>
      </c>
      <c r="C22" s="7" t="n">
        <f aca="false">Допущения!$D$27</f>
        <v>1908</v>
      </c>
      <c r="D22" s="7" t="n">
        <f aca="false">Допущения!$D$27</f>
        <v>1908</v>
      </c>
      <c r="E22" s="7" t="n">
        <f aca="false">Допущения!$D$27</f>
        <v>1908</v>
      </c>
      <c r="F22" s="7" t="n">
        <f aca="false">Допущения!$D$27</f>
        <v>1908</v>
      </c>
      <c r="G22" s="7" t="n">
        <f aca="false">Допущения!$D$27</f>
        <v>1908</v>
      </c>
      <c r="H22" s="7" t="n">
        <f aca="false">Допущения!$D$27</f>
        <v>1908</v>
      </c>
      <c r="I22" s="7" t="n">
        <f aca="false">Допущения!$D$27</f>
        <v>1908</v>
      </c>
      <c r="J22" s="7" t="n">
        <f aca="false">Допущения!$D$27</f>
        <v>1908</v>
      </c>
      <c r="K22" s="7" t="n">
        <f aca="false">Допущения!$D$27</f>
        <v>1908</v>
      </c>
      <c r="L22" s="7" t="n">
        <f aca="false">Допущения!$D$27</f>
        <v>1908</v>
      </c>
      <c r="M22" s="7" t="n">
        <f aca="false">Допущения!$D$27</f>
        <v>1908</v>
      </c>
      <c r="N22" s="7" t="n">
        <f aca="false">Допущения!$D$27</f>
        <v>1908</v>
      </c>
      <c r="O22" s="7" t="n">
        <f aca="false">Допущения!$D$27</f>
        <v>1908</v>
      </c>
      <c r="P22" s="7" t="n">
        <f aca="false">Допущения!$D$27</f>
        <v>1908</v>
      </c>
      <c r="Q22" s="7" t="n">
        <f aca="false">Допущения!$D$27</f>
        <v>1908</v>
      </c>
      <c r="R22" s="7" t="n">
        <f aca="false">Допущения!$D$27</f>
        <v>1908</v>
      </c>
      <c r="S22" s="7" t="n">
        <f aca="false">Допущения!$D$27</f>
        <v>1908</v>
      </c>
      <c r="T22" s="7" t="n">
        <f aca="false">Допущения!$D$27</f>
        <v>1908</v>
      </c>
      <c r="U22" s="7" t="n">
        <f aca="false">Допущения!$D$27</f>
        <v>1908</v>
      </c>
      <c r="V22" s="7" t="n">
        <f aca="false">Допущения!$D$27</f>
        <v>1908</v>
      </c>
      <c r="W22" s="7" t="n">
        <f aca="false">Допущения!$D$27</f>
        <v>1908</v>
      </c>
      <c r="X22" s="7" t="n">
        <f aca="false">Допущения!$D$27</f>
        <v>1908</v>
      </c>
      <c r="Y22" s="7" t="n">
        <f aca="false">Допущения!$D$27</f>
        <v>1908</v>
      </c>
    </row>
    <row r="23" customFormat="false" ht="15" hidden="false" customHeight="false" outlineLevel="0" collapsed="false">
      <c r="A23" s="17" t="s">
        <v>240</v>
      </c>
      <c r="B23" s="7" t="n">
        <f aca="false">Допущения!$D$33</f>
        <v>10000</v>
      </c>
      <c r="C23" s="7" t="n">
        <f aca="false">Допущения!$D$33</f>
        <v>10000</v>
      </c>
      <c r="D23" s="7" t="n">
        <f aca="false">Допущения!$D$33</f>
        <v>10000</v>
      </c>
      <c r="E23" s="7" t="n">
        <f aca="false">Допущения!$D$33</f>
        <v>10000</v>
      </c>
      <c r="F23" s="7" t="n">
        <f aca="false">Допущения!$D$33</f>
        <v>10000</v>
      </c>
      <c r="G23" s="7" t="n">
        <f aca="false">Допущения!$D$33</f>
        <v>10000</v>
      </c>
      <c r="H23" s="7" t="n">
        <f aca="false">Допущения!$D$33</f>
        <v>10000</v>
      </c>
      <c r="I23" s="7" t="n">
        <f aca="false">Допущения!$D$33</f>
        <v>10000</v>
      </c>
      <c r="J23" s="7" t="n">
        <f aca="false">Допущения!$D$33</f>
        <v>10000</v>
      </c>
      <c r="K23" s="7" t="n">
        <f aca="false">Допущения!$D$33</f>
        <v>10000</v>
      </c>
      <c r="L23" s="7" t="n">
        <f aca="false">Допущения!$D$33</f>
        <v>10000</v>
      </c>
      <c r="M23" s="7" t="n">
        <f aca="false">Допущения!$D$33</f>
        <v>10000</v>
      </c>
      <c r="N23" s="7" t="n">
        <f aca="false">Допущения!$D$33</f>
        <v>10000</v>
      </c>
      <c r="O23" s="7" t="n">
        <f aca="false">Допущения!$D$33</f>
        <v>10000</v>
      </c>
      <c r="P23" s="7" t="n">
        <f aca="false">Допущения!$D$33</f>
        <v>10000</v>
      </c>
      <c r="Q23" s="7" t="n">
        <f aca="false">Допущения!$D$33</f>
        <v>10000</v>
      </c>
      <c r="R23" s="7" t="n">
        <f aca="false">Допущения!$D$33</f>
        <v>10000</v>
      </c>
      <c r="S23" s="7" t="n">
        <f aca="false">Допущения!$D$33</f>
        <v>10000</v>
      </c>
      <c r="T23" s="7" t="n">
        <f aca="false">Допущения!$D$33</f>
        <v>10000</v>
      </c>
      <c r="U23" s="7" t="n">
        <f aca="false">Допущения!$D$33</f>
        <v>10000</v>
      </c>
      <c r="V23" s="7" t="n">
        <f aca="false">Допущения!$D$33</f>
        <v>10000</v>
      </c>
      <c r="W23" s="7" t="n">
        <f aca="false">Допущения!$D$33</f>
        <v>10000</v>
      </c>
      <c r="X23" s="7" t="n">
        <f aca="false">Допущения!$D$33</f>
        <v>10000</v>
      </c>
      <c r="Y23" s="7" t="n">
        <f aca="false">Допущения!$D$33</f>
        <v>10000</v>
      </c>
    </row>
    <row r="24" customFormat="false" ht="15" hidden="false" customHeight="false" outlineLevel="0" collapsed="false">
      <c r="A24" s="17" t="s">
        <v>150</v>
      </c>
      <c r="B24" s="7" t="n">
        <f aca="false">Допущения!$D$34</f>
        <v>30000</v>
      </c>
      <c r="C24" s="7" t="n">
        <f aca="false">Допущения!$D$34</f>
        <v>30000</v>
      </c>
      <c r="D24" s="7" t="n">
        <f aca="false">Допущения!$D$34</f>
        <v>30000</v>
      </c>
      <c r="E24" s="7" t="n">
        <f aca="false">Допущения!$D$34</f>
        <v>30000</v>
      </c>
      <c r="F24" s="7" t="n">
        <f aca="false">Допущения!$D$34</f>
        <v>30000</v>
      </c>
      <c r="G24" s="7" t="n">
        <f aca="false">Допущения!$D$34</f>
        <v>30000</v>
      </c>
      <c r="H24" s="7" t="n">
        <f aca="false">Допущения!$D$34</f>
        <v>30000</v>
      </c>
      <c r="I24" s="7" t="n">
        <f aca="false">Допущения!$D$34</f>
        <v>30000</v>
      </c>
      <c r="J24" s="7" t="n">
        <f aca="false">Допущения!$D$34</f>
        <v>30000</v>
      </c>
      <c r="K24" s="7" t="n">
        <f aca="false">Допущения!$D$34</f>
        <v>30000</v>
      </c>
      <c r="L24" s="7" t="n">
        <f aca="false">Допущения!$D$34</f>
        <v>30000</v>
      </c>
      <c r="M24" s="7" t="n">
        <f aca="false">Допущения!$D$34</f>
        <v>30000</v>
      </c>
      <c r="N24" s="7" t="n">
        <f aca="false">Допущения!$D$34</f>
        <v>30000</v>
      </c>
      <c r="O24" s="7" t="n">
        <f aca="false">Допущения!$D$34</f>
        <v>30000</v>
      </c>
      <c r="P24" s="7" t="n">
        <f aca="false">Допущения!$D$34</f>
        <v>30000</v>
      </c>
      <c r="Q24" s="7" t="n">
        <f aca="false">Допущения!$D$34</f>
        <v>30000</v>
      </c>
      <c r="R24" s="7" t="n">
        <f aca="false">Допущения!$D$34</f>
        <v>30000</v>
      </c>
      <c r="S24" s="7" t="n">
        <f aca="false">Допущения!$D$34</f>
        <v>30000</v>
      </c>
      <c r="T24" s="7" t="n">
        <f aca="false">Допущения!$D$34</f>
        <v>30000</v>
      </c>
      <c r="U24" s="7" t="n">
        <f aca="false">Допущения!$D$34</f>
        <v>30000</v>
      </c>
      <c r="V24" s="7" t="n">
        <f aca="false">Допущения!$D$34</f>
        <v>30000</v>
      </c>
      <c r="W24" s="7" t="n">
        <f aca="false">Допущения!$D$34</f>
        <v>30000</v>
      </c>
      <c r="X24" s="7" t="n">
        <f aca="false">Допущения!$D$34</f>
        <v>30000</v>
      </c>
      <c r="Y24" s="7" t="n">
        <f aca="false">Допущения!$D$34</f>
        <v>30000</v>
      </c>
    </row>
    <row r="25" customFormat="false" ht="15" hidden="false" customHeight="false" outlineLevel="0" collapsed="false">
      <c r="A25" s="17" t="s">
        <v>241</v>
      </c>
      <c r="B25" s="7" t="n">
        <f aca="false">Допущения!$D$35</f>
        <v>8000</v>
      </c>
      <c r="C25" s="7" t="n">
        <f aca="false">Допущения!$D$35</f>
        <v>8000</v>
      </c>
      <c r="D25" s="7" t="n">
        <f aca="false">Допущения!$D$35</f>
        <v>8000</v>
      </c>
      <c r="E25" s="7" t="n">
        <f aca="false">Допущения!$D$35</f>
        <v>8000</v>
      </c>
      <c r="F25" s="7" t="n">
        <f aca="false">Допущения!$D$35</f>
        <v>8000</v>
      </c>
      <c r="G25" s="7" t="n">
        <f aca="false">Допущения!$D$35</f>
        <v>8000</v>
      </c>
      <c r="H25" s="7" t="n">
        <f aca="false">Допущения!$D$35</f>
        <v>8000</v>
      </c>
      <c r="I25" s="7" t="n">
        <f aca="false">Допущения!$D$35</f>
        <v>8000</v>
      </c>
      <c r="J25" s="7" t="n">
        <f aca="false">Допущения!$D$35</f>
        <v>8000</v>
      </c>
      <c r="K25" s="7" t="n">
        <f aca="false">Допущения!$D$35</f>
        <v>8000</v>
      </c>
      <c r="L25" s="7" t="n">
        <f aca="false">Допущения!$D$35</f>
        <v>8000</v>
      </c>
      <c r="M25" s="7" t="n">
        <f aca="false">Допущения!$D$35</f>
        <v>8000</v>
      </c>
      <c r="N25" s="7" t="n">
        <f aca="false">Допущения!$D$35</f>
        <v>8000</v>
      </c>
      <c r="O25" s="7" t="n">
        <f aca="false">Допущения!$D$35</f>
        <v>8000</v>
      </c>
      <c r="P25" s="7" t="n">
        <f aca="false">Допущения!$D$35</f>
        <v>8000</v>
      </c>
      <c r="Q25" s="7" t="n">
        <f aca="false">Допущения!$D$35</f>
        <v>8000</v>
      </c>
      <c r="R25" s="7" t="n">
        <f aca="false">Допущения!$D$35</f>
        <v>8000</v>
      </c>
      <c r="S25" s="7" t="n">
        <f aca="false">Допущения!$D$35</f>
        <v>8000</v>
      </c>
      <c r="T25" s="7" t="n">
        <f aca="false">Допущения!$D$35</f>
        <v>8000</v>
      </c>
      <c r="U25" s="7" t="n">
        <f aca="false">Допущения!$D$35</f>
        <v>8000</v>
      </c>
      <c r="V25" s="7" t="n">
        <f aca="false">Допущения!$D$35</f>
        <v>8000</v>
      </c>
      <c r="W25" s="7" t="n">
        <f aca="false">Допущения!$D$35</f>
        <v>8000</v>
      </c>
      <c r="X25" s="7" t="n">
        <f aca="false">Допущения!$D$35</f>
        <v>8000</v>
      </c>
      <c r="Y25" s="7" t="n">
        <f aca="false">Допущения!$D$35</f>
        <v>8000</v>
      </c>
    </row>
    <row r="26" customFormat="false" ht="15" hidden="false" customHeight="false" outlineLevel="0" collapsed="false">
      <c r="A26" s="17" t="s">
        <v>180</v>
      </c>
      <c r="B26" s="7" t="n">
        <f aca="false">B13*Допущения!$D$50</f>
        <v>0</v>
      </c>
      <c r="C26" s="7" t="n">
        <f aca="false">C13*Допущения!$D$50</f>
        <v>0</v>
      </c>
      <c r="D26" s="7" t="n">
        <f aca="false">D13*Допущения!$D$50</f>
        <v>0</v>
      </c>
      <c r="E26" s="7" t="n">
        <f aca="false">E13*Допущения!$D$50</f>
        <v>176.3415</v>
      </c>
      <c r="F26" s="7" t="n">
        <f aca="false">F13*Допущения!$D$50</f>
        <v>312.696947766667</v>
      </c>
      <c r="G26" s="7" t="n">
        <f aca="false">G13*Допущения!$D$50</f>
        <v>438.936933049283</v>
      </c>
      <c r="H26" s="7" t="n">
        <f aca="false">H13*Допущения!$D$50</f>
        <v>556.120028077974</v>
      </c>
      <c r="I26" s="7" t="n">
        <f aca="false">I13*Допущения!$D$50</f>
        <v>665.190320381108</v>
      </c>
      <c r="J26" s="7" t="n">
        <f aca="false">J13*Допущения!$D$50</f>
        <v>766.990620869649</v>
      </c>
      <c r="K26" s="7" t="n">
        <f aca="false">K13*Допущения!$D$50</f>
        <v>862.274078319</v>
      </c>
      <c r="L26" s="7" t="n">
        <f aca="false">L13*Допущения!$D$50</f>
        <v>951.714400999892</v>
      </c>
      <c r="M26" s="7" t="n">
        <f aca="false">M13*Допущения!$D$50</f>
        <v>1132.24335996178</v>
      </c>
      <c r="N26" s="7" t="n">
        <f aca="false">N13*Допущения!$D$50</f>
        <v>1256.90389907567</v>
      </c>
      <c r="O26" s="7" t="n">
        <f aca="false">O13*Допущения!$D$50</f>
        <v>1374.32059539438</v>
      </c>
      <c r="P26" s="7" t="n">
        <f aca="false">P13*Допущения!$D$50</f>
        <v>1485.23013231294</v>
      </c>
      <c r="Q26" s="7" t="n">
        <f aca="false">Q13*Допущения!$D$50</f>
        <v>1590.29472988094</v>
      </c>
      <c r="R26" s="7" t="n">
        <f aca="false">R13*Допущения!$D$50</f>
        <v>1809.90633781758</v>
      </c>
      <c r="S26" s="7" t="n">
        <f aca="false">S13*Допущения!$D$50</f>
        <v>1949.98055683705</v>
      </c>
      <c r="T26" s="7" t="n">
        <f aca="false">T13*Допущения!$D$50</f>
        <v>2083.00867076518</v>
      </c>
      <c r="U26" s="7" t="n">
        <f aca="false">U13*Допущения!$D$50</f>
        <v>2343.57562902849</v>
      </c>
      <c r="V26" s="7" t="n">
        <f aca="false">V13*Допущения!$D$50</f>
        <v>2509.42402678559</v>
      </c>
      <c r="W26" s="7" t="n">
        <f aca="false">W13*Допущения!$D$50</f>
        <v>2667.46175170902</v>
      </c>
      <c r="X26" s="7" t="n">
        <f aca="false">X13*Допущения!$D$50</f>
        <v>2966.42454048021</v>
      </c>
      <c r="Y26" s="7" t="n">
        <f aca="false">Y13*Допущения!$D$50</f>
        <v>3155.84288164943</v>
      </c>
    </row>
    <row r="27" customFormat="false" ht="15" hidden="false" customHeight="false" outlineLevel="0" collapsed="false">
      <c r="A27" s="17" t="s">
        <v>242</v>
      </c>
      <c r="B27" s="7" t="n">
        <f aca="false">B12*Допущения!$D$13</f>
        <v>0</v>
      </c>
      <c r="C27" s="7" t="n">
        <f aca="false">C12*Допущения!$D$13</f>
        <v>0</v>
      </c>
      <c r="D27" s="7" t="n">
        <f aca="false">D12*Допущения!$D$13</f>
        <v>0</v>
      </c>
      <c r="E27" s="7" t="n">
        <f aca="false">E12*Допущения!$D$13</f>
        <v>88.8785</v>
      </c>
      <c r="F27" s="7" t="n">
        <f aca="false">F12*Допущения!$D$13</f>
        <v>170.221298511111</v>
      </c>
      <c r="G27" s="7" t="n">
        <f aca="false">G12*Допущения!$D$13</f>
        <v>244.820455366189</v>
      </c>
      <c r="H27" s="7" t="n">
        <f aca="false">H12*Допущения!$D$13</f>
        <v>313.381685385316</v>
      </c>
      <c r="I27" s="7" t="n">
        <f aca="false">I12*Допущения!$D$13</f>
        <v>376.534380254072</v>
      </c>
      <c r="J27" s="7" t="n">
        <f aca="false">J12*Допущения!$D$13</f>
        <v>434.8404139131</v>
      </c>
      <c r="K27" s="7" t="n">
        <f aca="false">K12*Допущения!$D$13</f>
        <v>488.801885546</v>
      </c>
      <c r="L27" s="7" t="n">
        <f aca="false">L12*Допущения!$D$13</f>
        <v>538.867933999928</v>
      </c>
      <c r="M27" s="7" t="n">
        <f aca="false">M12*Допущения!$D$13</f>
        <v>614.603351085628</v>
      </c>
      <c r="N27" s="7" t="n">
        <f aca="false">N12*Допущения!$D$13</f>
        <v>684.962599383778</v>
      </c>
      <c r="O27" s="7" t="n">
        <f aca="false">O12*Допущения!$D$13</f>
        <v>750.492619151809</v>
      </c>
      <c r="P27" s="7" t="n">
        <f aca="false">P12*Допущения!$D$13</f>
        <v>811.684532653068</v>
      </c>
      <c r="Q27" s="7" t="n">
        <f aca="false">Q12*Допущения!$D$13</f>
        <v>868.979819920626</v>
      </c>
      <c r="R27" s="7" t="n">
        <f aca="false">R12*Допущения!$D$13</f>
        <v>951.648669656163</v>
      </c>
      <c r="S27" s="7" t="n">
        <f aca="false">S12*Допущения!$D$13</f>
        <v>1029.09676011359</v>
      </c>
      <c r="T27" s="7" t="n">
        <f aca="false">T12*Допущения!$D$13</f>
        <v>1101.84744717679</v>
      </c>
      <c r="U27" s="7" t="n">
        <f aca="false">U12*Допущения!$D$13</f>
        <v>1199.07208601899</v>
      </c>
      <c r="V27" s="7" t="n">
        <f aca="false">V12*Допущения!$D$13</f>
        <v>1290.51601785706</v>
      </c>
      <c r="W27" s="7" t="n">
        <f aca="false">W12*Допущения!$D$13</f>
        <v>1376.75283447268</v>
      </c>
      <c r="X27" s="7" t="n">
        <f aca="false">X12*Допущения!$D$13</f>
        <v>1486.8269158757</v>
      </c>
      <c r="Y27" s="7" t="n">
        <f aca="false">Y12*Допущения!$D$13</f>
        <v>1590.7971988774</v>
      </c>
      <c r="Z27" s="8" t="s">
        <v>243</v>
      </c>
    </row>
    <row r="28" customFormat="false" ht="15" hidden="false" customHeight="false" outlineLevel="0" collapsed="false">
      <c r="A28" s="17" t="s">
        <v>244</v>
      </c>
      <c r="B28" s="7" t="n">
        <f aca="false">Допущения!$D$37</f>
        <v>0</v>
      </c>
      <c r="C28" s="7" t="n">
        <f aca="false">Допущения!$D$37</f>
        <v>0</v>
      </c>
      <c r="D28" s="7" t="n">
        <f aca="false">Допущения!$D$37</f>
        <v>0</v>
      </c>
      <c r="E28" s="7" t="n">
        <f aca="false">Допущения!$D$37</f>
        <v>0</v>
      </c>
      <c r="F28" s="7" t="n">
        <f aca="false">Допущения!$D$37</f>
        <v>0</v>
      </c>
      <c r="G28" s="7" t="n">
        <f aca="false">Допущения!$D$37</f>
        <v>0</v>
      </c>
      <c r="H28" s="7" t="n">
        <f aca="false">Допущения!$D$37</f>
        <v>0</v>
      </c>
      <c r="I28" s="7" t="n">
        <f aca="false">Допущения!$D$37</f>
        <v>0</v>
      </c>
      <c r="J28" s="7" t="n">
        <f aca="false">Допущения!$D$37</f>
        <v>0</v>
      </c>
      <c r="K28" s="7" t="n">
        <f aca="false">Допущения!$D$37</f>
        <v>0</v>
      </c>
      <c r="L28" s="7" t="n">
        <f aca="false">Допущения!$D$37</f>
        <v>0</v>
      </c>
      <c r="M28" s="7" t="n">
        <f aca="false">Допущения!$D$37</f>
        <v>0</v>
      </c>
      <c r="N28" s="7" t="n">
        <f aca="false">Допущения!$D$37</f>
        <v>0</v>
      </c>
      <c r="O28" s="7" t="n">
        <f aca="false">Допущения!$D$37</f>
        <v>0</v>
      </c>
      <c r="P28" s="7" t="n">
        <f aca="false">Допущения!$D$37</f>
        <v>0</v>
      </c>
      <c r="Q28" s="7" t="n">
        <f aca="false">Допущения!$D$37</f>
        <v>0</v>
      </c>
      <c r="R28" s="7" t="n">
        <f aca="false">Допущения!$D$37</f>
        <v>0</v>
      </c>
      <c r="S28" s="7" t="n">
        <f aca="false">Допущения!$D$37</f>
        <v>0</v>
      </c>
      <c r="T28" s="7" t="n">
        <f aca="false">Допущения!$D$37</f>
        <v>0</v>
      </c>
      <c r="U28" s="7" t="n">
        <f aca="false">Допущения!$D$37</f>
        <v>0</v>
      </c>
      <c r="V28" s="7" t="n">
        <f aca="false">Допущения!$D$37</f>
        <v>0</v>
      </c>
      <c r="W28" s="7" t="n">
        <f aca="false">Допущения!$D$37</f>
        <v>0</v>
      </c>
      <c r="X28" s="7" t="n">
        <f aca="false">Допущения!$D$37</f>
        <v>0</v>
      </c>
      <c r="Y28" s="7" t="n">
        <f aca="false">Допущения!$D$37</f>
        <v>0</v>
      </c>
    </row>
    <row r="29" customFormat="false" ht="15" hidden="false" customHeight="false" outlineLevel="0" collapsed="false">
      <c r="A29" s="17" t="s">
        <v>245</v>
      </c>
      <c r="B29" s="7" t="n">
        <f aca="false">Допущения!$D$38</f>
        <v>0</v>
      </c>
      <c r="C29" s="7" t="n">
        <f aca="false">Допущения!$D$38</f>
        <v>0</v>
      </c>
      <c r="D29" s="7" t="n">
        <f aca="false">Допущения!$D$38</f>
        <v>0</v>
      </c>
      <c r="E29" s="7" t="n">
        <f aca="false">Допущения!$D$38</f>
        <v>0</v>
      </c>
      <c r="F29" s="7" t="n">
        <f aca="false">Допущения!$D$38</f>
        <v>0</v>
      </c>
      <c r="G29" s="7" t="n">
        <f aca="false">Допущения!$D$38</f>
        <v>0</v>
      </c>
      <c r="H29" s="7" t="n">
        <f aca="false">Допущения!$D$38</f>
        <v>0</v>
      </c>
      <c r="I29" s="7" t="n">
        <f aca="false">Допущения!$D$38</f>
        <v>0</v>
      </c>
      <c r="J29" s="7" t="n">
        <f aca="false">Допущения!$D$38</f>
        <v>0</v>
      </c>
      <c r="K29" s="7" t="n">
        <f aca="false">Допущения!$D$38</f>
        <v>0</v>
      </c>
      <c r="L29" s="7" t="n">
        <f aca="false">Допущения!$D$38</f>
        <v>0</v>
      </c>
      <c r="M29" s="7" t="n">
        <f aca="false">Допущения!$D$38</f>
        <v>0</v>
      </c>
      <c r="N29" s="7" t="n">
        <f aca="false">Допущения!$D$38</f>
        <v>0</v>
      </c>
      <c r="O29" s="7" t="n">
        <f aca="false">Допущения!$D$38</f>
        <v>0</v>
      </c>
      <c r="P29" s="7" t="n">
        <f aca="false">Допущения!$D$38</f>
        <v>0</v>
      </c>
      <c r="Q29" s="7" t="n">
        <f aca="false">Допущения!$D$38</f>
        <v>0</v>
      </c>
      <c r="R29" s="7" t="n">
        <f aca="false">Допущения!$D$38</f>
        <v>0</v>
      </c>
      <c r="S29" s="7" t="n">
        <f aca="false">Допущения!$D$38</f>
        <v>0</v>
      </c>
      <c r="T29" s="7" t="n">
        <f aca="false">Допущения!$D$38</f>
        <v>0</v>
      </c>
      <c r="U29" s="7" t="n">
        <f aca="false">Допущения!$D$38</f>
        <v>0</v>
      </c>
      <c r="V29" s="7" t="n">
        <f aca="false">Допущения!$D$38</f>
        <v>0</v>
      </c>
      <c r="W29" s="7" t="n">
        <f aca="false">Допущения!$D$38</f>
        <v>0</v>
      </c>
      <c r="X29" s="7" t="n">
        <f aca="false">Допущения!$D$38</f>
        <v>0</v>
      </c>
      <c r="Y29" s="7" t="n">
        <f aca="false">Допущения!$D$38</f>
        <v>0</v>
      </c>
    </row>
    <row r="30" customFormat="false" ht="32.8" hidden="false" customHeight="false" outlineLevel="0" collapsed="false">
      <c r="A30" s="17" t="s">
        <v>246</v>
      </c>
      <c r="B30" s="7" t="n">
        <f aca="false">IF(1&lt;=Допущения!$D$39,0,IF(1&lt;=Допущения!$D$41,Допущения!$D$40,Допущения!$D$42))</f>
        <v>0</v>
      </c>
      <c r="C30" s="7" t="n">
        <f aca="false">IF(2&lt;=Допущения!$D$39,0,IF(2&lt;=Допущения!$D$41,Допущения!$D$40,Допущения!$D$42))</f>
        <v>0</v>
      </c>
      <c r="D30" s="7" t="n">
        <f aca="false">IF(3&lt;=Допущения!$D$39,0,IF(3&lt;=Допущения!$D$41,Допущения!$D$40,Допущения!$D$42))</f>
        <v>0</v>
      </c>
      <c r="E30" s="7" t="n">
        <f aca="false">IF(4&lt;=Допущения!$D$39,0,IF(4&lt;=Допущения!$D$41,Допущения!$D$40,Допущения!$D$42))</f>
        <v>50000</v>
      </c>
      <c r="F30" s="7" t="n">
        <f aca="false">IF(5&lt;=Допущения!$D$39,0,IF(5&lt;=Допущения!$D$41,Допущения!$D$40,Допущения!$D$42))</f>
        <v>50000</v>
      </c>
      <c r="G30" s="7" t="n">
        <f aca="false">IF(6&lt;=Допущения!$D$39,0,IF(6&lt;=Допущения!$D$41,Допущения!$D$40,Допущения!$D$42))</f>
        <v>50000</v>
      </c>
      <c r="H30" s="7" t="n">
        <f aca="false">IF(7&lt;=Допущения!$D$39,0,IF(7&lt;=Допущения!$D$41,Допущения!$D$40,Допущения!$D$42))</f>
        <v>50000</v>
      </c>
      <c r="I30" s="7" t="n">
        <f aca="false">IF(8&lt;=Допущения!$D$39,0,IF(8&lt;=Допущения!$D$41,Допущения!$D$40,Допущения!$D$42))</f>
        <v>50000</v>
      </c>
      <c r="J30" s="7" t="n">
        <f aca="false">IF(9&lt;=Допущения!$D$39,0,IF(9&lt;=Допущения!$D$41,Допущения!$D$40,Допущения!$D$42))</f>
        <v>50000</v>
      </c>
      <c r="K30" s="7" t="n">
        <f aca="false">IF(10&lt;=Допущения!$D$39,0,IF(10&lt;=Допущения!$D$41,Допущения!$D$40,Допущения!$D$42))</f>
        <v>50000</v>
      </c>
      <c r="L30" s="7" t="n">
        <f aca="false">IF(11&lt;=Допущения!$D$39,0,IF(11&lt;=Допущения!$D$41,Допущения!$D$40,Допущения!$D$42))</f>
        <v>50000</v>
      </c>
      <c r="M30" s="7" t="n">
        <f aca="false">IF(12&lt;=Допущения!$D$39,0,IF(12&lt;=Допущения!$D$41,Допущения!$D$40,Допущения!$D$42))</f>
        <v>50000</v>
      </c>
      <c r="N30" s="7" t="n">
        <f aca="false">IF(13&lt;=Допущения!$D$39,0,IF(13&lt;=Допущения!$D$41,Допущения!$D$40,Допущения!$D$42))</f>
        <v>100000</v>
      </c>
      <c r="O30" s="7" t="n">
        <f aca="false">IF(14&lt;=Допущения!$D$39,0,IF(14&lt;=Допущения!$D$41,Допущения!$D$40,Допущения!$D$42))</f>
        <v>100000</v>
      </c>
      <c r="P30" s="7" t="n">
        <f aca="false">IF(15&lt;=Допущения!$D$39,0,IF(15&lt;=Допущения!$D$41,Допущения!$D$40,Допущения!$D$42))</f>
        <v>100000</v>
      </c>
      <c r="Q30" s="7" t="n">
        <f aca="false">IF(16&lt;=Допущения!$D$39,0,IF(16&lt;=Допущения!$D$41,Допущения!$D$40,Допущения!$D$42))</f>
        <v>100000</v>
      </c>
      <c r="R30" s="7" t="n">
        <f aca="false">IF(17&lt;=Допущения!$D$39,0,IF(17&lt;=Допущения!$D$41,Допущения!$D$40,Допущения!$D$42))</f>
        <v>100000</v>
      </c>
      <c r="S30" s="7" t="n">
        <f aca="false">IF(18&lt;=Допущения!$D$39,0,IF(18&lt;=Допущения!$D$41,Допущения!$D$40,Допущения!$D$42))</f>
        <v>100000</v>
      </c>
      <c r="T30" s="7" t="n">
        <f aca="false">IF(19&lt;=Допущения!$D$39,0,IF(19&lt;=Допущения!$D$41,Допущения!$D$40,Допущения!$D$42))</f>
        <v>100000</v>
      </c>
      <c r="U30" s="7" t="n">
        <f aca="false">IF(20&lt;=Допущения!$D$39,0,IF(20&lt;=Допущения!$D$41,Допущения!$D$40,Допущения!$D$42))</f>
        <v>100000</v>
      </c>
      <c r="V30" s="7" t="n">
        <f aca="false">IF(21&lt;=Допущения!$D$39,0,IF(21&lt;=Допущения!$D$41,Допущения!$D$40,Допущения!$D$42))</f>
        <v>100000</v>
      </c>
      <c r="W30" s="7" t="n">
        <f aca="false">IF(22&lt;=Допущения!$D$39,0,IF(22&lt;=Допущения!$D$41,Допущения!$D$40,Допущения!$D$42))</f>
        <v>100000</v>
      </c>
      <c r="X30" s="7" t="n">
        <f aca="false">IF(23&lt;=Допущения!$D$39,0,IF(23&lt;=Допущения!$D$41,Допущения!$D$40,Допущения!$D$42))</f>
        <v>100000</v>
      </c>
      <c r="Y30" s="7" t="n">
        <f aca="false">IF(24&lt;=Допущения!$D$39,0,IF(24&lt;=Допущения!$D$41,Допущения!$D$40,Допущения!$D$42))</f>
        <v>100000</v>
      </c>
      <c r="Z30" s="8" t="s">
        <v>247</v>
      </c>
    </row>
    <row r="31" customFormat="false" ht="32.8" hidden="false" customHeight="false" outlineLevel="0" collapsed="false">
      <c r="A31" s="29" t="s">
        <v>248</v>
      </c>
      <c r="B31" s="15" t="n">
        <f aca="false">MAX(Допущения!$D$37,Допущения!$D$48)*Допущения!$D$49</f>
        <v>8127.9</v>
      </c>
      <c r="C31" s="15" t="n">
        <f aca="false">MAX(Допущения!$D$37,Допущения!$D$48)*Допущения!$D$49</f>
        <v>8127.9</v>
      </c>
      <c r="D31" s="15" t="n">
        <f aca="false">MAX(Допущения!$D$37,Допущения!$D$48)*Допущения!$D$49</f>
        <v>8127.9</v>
      </c>
      <c r="E31" s="15" t="n">
        <f aca="false">MAX(Допущения!$D$37,Допущения!$D$48)*Допущения!$D$49</f>
        <v>8127.9</v>
      </c>
      <c r="F31" s="15" t="n">
        <f aca="false">MAX(Допущения!$D$37,Допущения!$D$48)*Допущения!$D$49</f>
        <v>8127.9</v>
      </c>
      <c r="G31" s="15" t="n">
        <f aca="false">MAX(Допущения!$D$37,Допущения!$D$48)*Допущения!$D$49</f>
        <v>8127.9</v>
      </c>
      <c r="H31" s="15" t="n">
        <f aca="false">MAX(Допущения!$D$37,Допущения!$D$48)*Допущения!$D$49</f>
        <v>8127.9</v>
      </c>
      <c r="I31" s="15" t="n">
        <f aca="false">MAX(Допущения!$D$37,Допущения!$D$48)*Допущения!$D$49</f>
        <v>8127.9</v>
      </c>
      <c r="J31" s="15" t="n">
        <f aca="false">MAX(Допущения!$D$37,Допущения!$D$48)*Допущения!$D$49</f>
        <v>8127.9</v>
      </c>
      <c r="K31" s="15" t="n">
        <f aca="false">MAX(Допущения!$D$37,Допущения!$D$48)*Допущения!$D$49</f>
        <v>8127.9</v>
      </c>
      <c r="L31" s="15" t="n">
        <f aca="false">MAX(Допущения!$D$37,Допущения!$D$48)*Допущения!$D$49</f>
        <v>8127.9</v>
      </c>
      <c r="M31" s="15" t="n">
        <f aca="false">MAX(Допущения!$D$37,Допущения!$D$48)*Допущения!$D$49</f>
        <v>8127.9</v>
      </c>
      <c r="N31" s="15" t="n">
        <f aca="false">MAX(Допущения!$D$37,Допущения!$D$48)*Допущения!$D$49</f>
        <v>8127.9</v>
      </c>
      <c r="O31" s="15" t="n">
        <f aca="false">MAX(Допущения!$D$37,Допущения!$D$48)*Допущения!$D$49</f>
        <v>8127.9</v>
      </c>
      <c r="P31" s="15" t="n">
        <f aca="false">MAX(Допущения!$D$37,Допущения!$D$48)*Допущения!$D$49</f>
        <v>8127.9</v>
      </c>
      <c r="Q31" s="15" t="n">
        <f aca="false">MAX(Допущения!$D$37,Допущения!$D$48)*Допущения!$D$49</f>
        <v>8127.9</v>
      </c>
      <c r="R31" s="15" t="n">
        <f aca="false">MAX(Допущения!$D$37,Допущения!$D$48)*Допущения!$D$49</f>
        <v>8127.9</v>
      </c>
      <c r="S31" s="15" t="n">
        <f aca="false">MAX(Допущения!$D$37,Допущения!$D$48)*Допущения!$D$49</f>
        <v>8127.9</v>
      </c>
      <c r="T31" s="15" t="n">
        <f aca="false">MAX(Допущения!$D$37,Допущения!$D$48)*Допущения!$D$49</f>
        <v>8127.9</v>
      </c>
      <c r="U31" s="15" t="n">
        <f aca="false">MAX(Допущения!$D$37,Допущения!$D$48)*Допущения!$D$49</f>
        <v>8127.9</v>
      </c>
      <c r="V31" s="15" t="n">
        <f aca="false">MAX(Допущения!$D$37,Допущения!$D$48)*Допущения!$D$49</f>
        <v>8127.9</v>
      </c>
      <c r="W31" s="15" t="n">
        <f aca="false">MAX(Допущения!$D$37,Допущения!$D$48)*Допущения!$D$49</f>
        <v>8127.9</v>
      </c>
      <c r="X31" s="15" t="n">
        <f aca="false">MAX(Допущения!$D$37,Допущения!$D$48)*Допущения!$D$49</f>
        <v>8127.9</v>
      </c>
      <c r="Y31" s="15" t="n">
        <f aca="false">MAX(Допущения!$D$37,Допущения!$D$48)*Допущения!$D$49</f>
        <v>8127.9</v>
      </c>
      <c r="Z31" s="8" t="s">
        <v>249</v>
      </c>
    </row>
    <row r="32" customFormat="false" ht="15" hidden="false" customHeight="false" outlineLevel="0" collapsed="false">
      <c r="A32" s="5" t="s">
        <v>250</v>
      </c>
      <c r="B32" s="14" t="n">
        <f aca="false">SUM(B15:B31)</f>
        <v>115835.9</v>
      </c>
      <c r="C32" s="14" t="n">
        <f aca="false">SUM(C15:C31)</f>
        <v>115835.9</v>
      </c>
      <c r="D32" s="14" t="n">
        <f aca="false">SUM(D15:D31)</f>
        <v>115835.9</v>
      </c>
      <c r="E32" s="14" t="n">
        <f aca="false">SUM(E15:E31)</f>
        <v>166431.12</v>
      </c>
      <c r="F32" s="14" t="n">
        <f aca="false">SUM(F15:F31)</f>
        <v>166952.077246278</v>
      </c>
      <c r="G32" s="14" t="n">
        <f aca="false">SUM(G15:G31)</f>
        <v>167432.229282624</v>
      </c>
      <c r="H32" s="14" t="n">
        <f aca="false">SUM(H15:H31)</f>
        <v>167875.834799434</v>
      </c>
      <c r="I32" s="14" t="n">
        <f aca="false">SUM(I15:I31)</f>
        <v>168286.695730637</v>
      </c>
      <c r="J32" s="14" t="n">
        <f aca="false">SUM(J15:J31)</f>
        <v>168668.209657406</v>
      </c>
      <c r="K32" s="14" t="n">
        <f aca="false">SUM(K15:K31)</f>
        <v>169023.415925272</v>
      </c>
      <c r="L32" s="14" t="n">
        <f aca="false">SUM(L15:L31)</f>
        <v>169355.036262638</v>
      </c>
      <c r="M32" s="14" t="n">
        <f aca="false">SUM(M15:M31)</f>
        <v>169901.001697264</v>
      </c>
      <c r="N32" s="14" t="n">
        <f aca="false">SUM(N15:N31)</f>
        <v>220366.557045183</v>
      </c>
      <c r="O32" s="14" t="n">
        <f aca="false">SUM(O15:O31)</f>
        <v>220802.830389597</v>
      </c>
      <c r="P32" s="14" t="n">
        <f aca="false">SUM(P15:P31)</f>
        <v>221212.809940251</v>
      </c>
      <c r="Q32" s="14" t="n">
        <f aca="false">SUM(Q15:Q31)</f>
        <v>221599.185156407</v>
      </c>
      <c r="R32" s="14" t="n">
        <f aca="false">SUM(R15:R31)</f>
        <v>222223.048347476</v>
      </c>
      <c r="S32" s="14" t="n">
        <f aca="false">SUM(S15:S31)</f>
        <v>222743.51668411</v>
      </c>
      <c r="T32" s="14" t="n">
        <f aca="false">SUM(T15:T31)</f>
        <v>223235.494066596</v>
      </c>
      <c r="U32" s="14" t="n">
        <f aca="false">SUM(U15:U31)</f>
        <v>223974.445625582</v>
      </c>
      <c r="V32" s="14" t="n">
        <f aca="false">SUM(V15:V31)</f>
        <v>224592.238608007</v>
      </c>
      <c r="W32" s="14" t="n">
        <f aca="false">SUM(W15:W31)</f>
        <v>225178.436271742</v>
      </c>
      <c r="X32" s="14" t="n">
        <f aca="false">SUM(X15:X31)</f>
        <v>226022.707516751</v>
      </c>
      <c r="Y32" s="14" t="n">
        <f aca="false">SUM(Y15:Y31)</f>
        <v>226729.516733599</v>
      </c>
    </row>
    <row r="33" customFormat="false" ht="15" hidden="false" customHeight="false" outlineLevel="0" collapsed="false">
      <c r="A33" s="3" t="s">
        <v>251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customFormat="false" ht="22.35" hidden="false" customHeight="false" outlineLevel="0" collapsed="false">
      <c r="A34" s="17" t="s">
        <v>252</v>
      </c>
      <c r="B34" s="7" t="n">
        <f aca="false">SUM($B$12:B12)</f>
        <v>0</v>
      </c>
      <c r="C34" s="7" t="n">
        <f aca="false">SUM($B$12:C12)</f>
        <v>0</v>
      </c>
      <c r="D34" s="7" t="n">
        <f aca="false">SUM($B$12:D12)</f>
        <v>0</v>
      </c>
      <c r="E34" s="7" t="n">
        <f aca="false">SUM($E$12:E12)</f>
        <v>4443.925</v>
      </c>
      <c r="F34" s="7" t="n">
        <f aca="false">SUM($E$12:F12)</f>
        <v>12954.9899255556</v>
      </c>
      <c r="G34" s="7" t="n">
        <f aca="false">SUM($E$12:G12)</f>
        <v>25196.012693865</v>
      </c>
      <c r="H34" s="7" t="n">
        <f aca="false">SUM($E$12:H12)</f>
        <v>40865.0969631308</v>
      </c>
      <c r="I34" s="7" t="n">
        <f aca="false">SUM($E$12:I12)</f>
        <v>59691.8159758344</v>
      </c>
      <c r="J34" s="7" t="n">
        <f aca="false">SUM($E$12:J12)</f>
        <v>81433.8366714894</v>
      </c>
      <c r="K34" s="7" t="n">
        <f aca="false">SUM($E$12:K12)</f>
        <v>105873.930948789</v>
      </c>
      <c r="L34" s="7" t="n">
        <f aca="false">SUM($E$12:L12)</f>
        <v>132817.327648786</v>
      </c>
      <c r="M34" s="7" t="n">
        <f aca="false">SUM($E$12:M12)</f>
        <v>163547.495203067</v>
      </c>
      <c r="N34" s="7" t="n">
        <f aca="false">SUM($E$12:N12)</f>
        <v>197795.625172256</v>
      </c>
      <c r="O34" s="7" t="n">
        <f aca="false">SUM($E$12:O12)</f>
        <v>235320.256129847</v>
      </c>
      <c r="P34" s="7" t="n">
        <f aca="false">SUM($E$12:P12)</f>
        <v>275904.4827625</v>
      </c>
      <c r="Q34" s="7" t="n">
        <f aca="false">SUM($E$12:Q12)</f>
        <v>319353.473758531</v>
      </c>
      <c r="R34" s="7" t="n">
        <f aca="false">SUM($E$12:R12)</f>
        <v>366935.907241339</v>
      </c>
      <c r="S34" s="7" t="n">
        <f aca="false">SUM($E$12:S12)</f>
        <v>418390.745247019</v>
      </c>
      <c r="T34" s="7" t="n">
        <f aca="false">SUM($E$12:T12)</f>
        <v>473483.117605858</v>
      </c>
      <c r="U34" s="7" t="n">
        <f aca="false">SUM($E$12:U12)</f>
        <v>533436.721906808</v>
      </c>
      <c r="V34" s="7" t="n">
        <f aca="false">SUM($E$12:V12)</f>
        <v>597962.522799661</v>
      </c>
      <c r="W34" s="7" t="n">
        <f aca="false">SUM($E$12:W12)</f>
        <v>666800.164523295</v>
      </c>
      <c r="X34" s="7" t="n">
        <f aca="false">SUM($E$12:X12)</f>
        <v>741141.51031708</v>
      </c>
      <c r="Y34" s="7" t="n">
        <f aca="false">SUM($E$12:Y12)</f>
        <v>820681.37026095</v>
      </c>
      <c r="Z34" s="8" t="s">
        <v>253</v>
      </c>
    </row>
    <row r="35" customFormat="false" ht="15" hidden="false" customHeight="false" outlineLevel="0" collapsed="false">
      <c r="A35" s="17" t="s">
        <v>254</v>
      </c>
      <c r="B35" s="7" t="n">
        <f aca="false">IF(B34&gt;Допущения!$D$46,B12*Допущения!$D$47,0)</f>
        <v>0</v>
      </c>
      <c r="C35" s="7" t="n">
        <f aca="false">IF(C34&gt;Допущения!$D$46,C12*Допущения!$D$47,0)</f>
        <v>0</v>
      </c>
      <c r="D35" s="7" t="n">
        <f aca="false">IF(D34&gt;Допущения!$D$46,D12*Допущения!$D$47,0)</f>
        <v>0</v>
      </c>
      <c r="E35" s="7" t="n">
        <f aca="false">IF(E34&gt;Допущения!$D$46,E12*Допущения!$D$47,0)</f>
        <v>0</v>
      </c>
      <c r="F35" s="7" t="n">
        <f aca="false">IF(F34&gt;Допущения!$D$46,F12*Допущения!$D$47,0)</f>
        <v>0</v>
      </c>
      <c r="G35" s="7" t="n">
        <f aca="false">IF(G34&gt;Допущения!$D$46,G12*Допущения!$D$47,0)</f>
        <v>0</v>
      </c>
      <c r="H35" s="7" t="n">
        <f aca="false">IF(H34&gt;Допущения!$D$46,H12*Допущения!$D$47,0)</f>
        <v>0</v>
      </c>
      <c r="I35" s="7" t="n">
        <f aca="false">IF(I34&gt;Допущения!$D$46,I12*Допущения!$D$47,0)</f>
        <v>0</v>
      </c>
      <c r="J35" s="7" t="n">
        <f aca="false">IF(J34&gt;Допущения!$D$46,J12*Допущения!$D$47,0)</f>
        <v>0</v>
      </c>
      <c r="K35" s="7" t="n">
        <f aca="false">IF(K34&gt;Допущения!$D$46,K12*Допущения!$D$47,0)</f>
        <v>0</v>
      </c>
      <c r="L35" s="7" t="n">
        <f aca="false">IF(L34&gt;Допущения!$D$46,L12*Допущения!$D$47,0)</f>
        <v>0</v>
      </c>
      <c r="M35" s="7" t="n">
        <f aca="false">IF(M34&gt;Допущения!$D$46,M12*Допущения!$D$47,0)</f>
        <v>0</v>
      </c>
      <c r="N35" s="7" t="n">
        <f aca="false">IF(N34&gt;Допущения!$D$46,N12*Допущения!$D$47,0)</f>
        <v>0</v>
      </c>
      <c r="O35" s="7" t="n">
        <f aca="false">IF(O34&gt;Допущения!$D$46,O12*Допущения!$D$47,0)</f>
        <v>0</v>
      </c>
      <c r="P35" s="7" t="n">
        <f aca="false">IF(P34&gt;Допущения!$D$46,P12*Допущения!$D$47,0)</f>
        <v>0</v>
      </c>
      <c r="Q35" s="7" t="n">
        <f aca="false">IF(Q34&gt;Допущения!$D$46,Q12*Допущения!$D$47,0)</f>
        <v>0</v>
      </c>
      <c r="R35" s="7" t="n">
        <f aca="false">IF(R34&gt;Допущения!$D$46,R12*Допущения!$D$47,0)</f>
        <v>0</v>
      </c>
      <c r="S35" s="7" t="n">
        <f aca="false">IF(S34&gt;Допущения!$D$46,S12*Допущения!$D$47,0)</f>
        <v>0</v>
      </c>
      <c r="T35" s="7" t="n">
        <f aca="false">IF(T34&gt;Допущения!$D$46,T12*Допущения!$D$47,0)</f>
        <v>0</v>
      </c>
      <c r="U35" s="7" t="n">
        <f aca="false">IF(U34&gt;Допущения!$D$46,U12*Допущения!$D$47,0)</f>
        <v>0</v>
      </c>
      <c r="V35" s="7" t="n">
        <f aca="false">IF(V34&gt;Допущения!$D$46,V12*Допущения!$D$47,0)</f>
        <v>0</v>
      </c>
      <c r="W35" s="7" t="n">
        <f aca="false">IF(W34&gt;Допущения!$D$46,W12*Допущения!$D$47,0)</f>
        <v>0</v>
      </c>
      <c r="X35" s="7" t="n">
        <f aca="false">IF(X34&gt;Допущения!$D$46,X12*Допущения!$D$47,0)</f>
        <v>0</v>
      </c>
      <c r="Y35" s="7" t="n">
        <f aca="false">IF(Y34&gt;Допущения!$D$46,Y12*Допущения!$D$47,0)</f>
        <v>0</v>
      </c>
      <c r="Z35" s="8" t="s">
        <v>255</v>
      </c>
    </row>
    <row r="36" customFormat="false" ht="15" hidden="false" customHeight="false" outlineLevel="0" collapsed="false">
      <c r="A36" s="17" t="s">
        <v>256</v>
      </c>
      <c r="B36" s="7" t="n">
        <f aca="false">B12-B32-B35</f>
        <v>-115835.9</v>
      </c>
      <c r="C36" s="7" t="n">
        <f aca="false">C12-C32-C35</f>
        <v>-115835.9</v>
      </c>
      <c r="D36" s="7" t="n">
        <f aca="false">D12-D32-D35</f>
        <v>-115835.9</v>
      </c>
      <c r="E36" s="7" t="n">
        <f aca="false">E12-E32-E35</f>
        <v>-161987.195</v>
      </c>
      <c r="F36" s="7" t="n">
        <f aca="false">F12-F32-F35</f>
        <v>-158441.012320722</v>
      </c>
      <c r="G36" s="7" t="n">
        <f aca="false">G12-G32-G35</f>
        <v>-155191.206514314</v>
      </c>
      <c r="H36" s="7" t="n">
        <f aca="false">H12-H32-H35</f>
        <v>-152206.750530169</v>
      </c>
      <c r="I36" s="7" t="n">
        <f aca="false">I12-I32-I35</f>
        <v>-149459.976717934</v>
      </c>
      <c r="J36" s="7" t="n">
        <f aca="false">J12-J32-J35</f>
        <v>-146926.188961751</v>
      </c>
      <c r="K36" s="7" t="n">
        <f aca="false">K12-K32-K35</f>
        <v>-144583.321647972</v>
      </c>
      <c r="L36" s="7" t="n">
        <f aca="false">L12-L32-L35</f>
        <v>-142411.639562642</v>
      </c>
      <c r="M36" s="7" t="n">
        <f aca="false">M12-M32-M35</f>
        <v>-139170.834142982</v>
      </c>
      <c r="N36" s="7" t="n">
        <f aca="false">N12-N32-N35</f>
        <v>-186118.427075994</v>
      </c>
      <c r="O36" s="7" t="n">
        <f aca="false">O12-O32-O35</f>
        <v>-183278.199432006</v>
      </c>
      <c r="P36" s="7" t="n">
        <f aca="false">P12-P32-P35</f>
        <v>-180628.583307597</v>
      </c>
      <c r="Q36" s="7" t="n">
        <f aca="false">Q12-Q32-Q35</f>
        <v>-178150.194160376</v>
      </c>
      <c r="R36" s="7" t="n">
        <f aca="false">R12-R32-R35</f>
        <v>-174640.614864668</v>
      </c>
      <c r="S36" s="7" t="n">
        <f aca="false">S12-S32-S35</f>
        <v>-171288.67867843</v>
      </c>
      <c r="T36" s="7" t="n">
        <f aca="false">T12-T32-T35</f>
        <v>-168143.121707757</v>
      </c>
      <c r="U36" s="7" t="n">
        <f aca="false">U12-U32-U35</f>
        <v>-164020.841324632</v>
      </c>
      <c r="V36" s="7" t="n">
        <f aca="false">V12-V32-V35</f>
        <v>-160066.437715154</v>
      </c>
      <c r="W36" s="7" t="n">
        <f aca="false">W12-W32-W35</f>
        <v>-156340.794548108</v>
      </c>
      <c r="X36" s="7" t="n">
        <f aca="false">X12-X32-X35</f>
        <v>-151681.361722966</v>
      </c>
      <c r="Y36" s="7" t="n">
        <f aca="false">Y12-Y32-Y35</f>
        <v>-147189.656789729</v>
      </c>
    </row>
    <row r="37" customFormat="false" ht="22.35" hidden="false" customHeight="false" outlineLevel="0" collapsed="false">
      <c r="A37" s="17" t="s">
        <v>257</v>
      </c>
      <c r="B37" s="7" t="n">
        <f aca="false">MAX(B36*Допущения!$D$44,B12*Допущения!$D$45)</f>
        <v>0</v>
      </c>
      <c r="C37" s="7" t="n">
        <f aca="false">MAX(C36*Допущения!$D$44,C12*Допущения!$D$45)</f>
        <v>0</v>
      </c>
      <c r="D37" s="7" t="n">
        <f aca="false">MAX(D36*Допущения!$D$44,D12*Допущения!$D$45)</f>
        <v>0</v>
      </c>
      <c r="E37" s="7" t="n">
        <f aca="false">MAX(E36*Допущения!$D$44,E12*Допущения!$D$45)</f>
        <v>44.43925</v>
      </c>
      <c r="F37" s="7" t="n">
        <f aca="false">MAX(F36*Допущения!$D$44,F12*Допущения!$D$45)</f>
        <v>85.1106492555555</v>
      </c>
      <c r="G37" s="7" t="n">
        <f aca="false">MAX(G36*Допущения!$D$44,G12*Допущения!$D$45)</f>
        <v>122.410227683094</v>
      </c>
      <c r="H37" s="7" t="n">
        <f aca="false">MAX(H36*Допущения!$D$44,H12*Допущения!$D$45)</f>
        <v>156.690842692658</v>
      </c>
      <c r="I37" s="7" t="n">
        <f aca="false">MAX(I36*Допущения!$D$44,I12*Допущения!$D$45)</f>
        <v>188.267190127036</v>
      </c>
      <c r="J37" s="7" t="n">
        <f aca="false">MAX(J36*Допущения!$D$44,J12*Допущения!$D$45)</f>
        <v>217.42020695655</v>
      </c>
      <c r="K37" s="7" t="n">
        <f aca="false">MAX(K36*Допущения!$D$44,K12*Допущения!$D$45)</f>
        <v>244.400942773</v>
      </c>
      <c r="L37" s="7" t="n">
        <f aca="false">MAX(L36*Допущения!$D$44,L12*Допущения!$D$45)</f>
        <v>269.433966999964</v>
      </c>
      <c r="M37" s="7" t="n">
        <f aca="false">MAX(M36*Допущения!$D$44,M12*Допущения!$D$45)</f>
        <v>307.301675542814</v>
      </c>
      <c r="N37" s="7" t="n">
        <f aca="false">MAX(N36*Допущения!$D$44,N12*Допущения!$D$45)</f>
        <v>342.481299691889</v>
      </c>
      <c r="O37" s="7" t="n">
        <f aca="false">MAX(O36*Допущения!$D$44,O12*Допущения!$D$45)</f>
        <v>375.246309575905</v>
      </c>
      <c r="P37" s="7" t="n">
        <f aca="false">MAX(P36*Допущения!$D$44,P12*Допущения!$D$45)</f>
        <v>405.842266326534</v>
      </c>
      <c r="Q37" s="7" t="n">
        <f aca="false">MAX(Q36*Допущения!$D$44,Q12*Допущения!$D$45)</f>
        <v>434.489909960313</v>
      </c>
      <c r="R37" s="7" t="n">
        <f aca="false">MAX(R36*Допущения!$D$44,R12*Допущения!$D$45)</f>
        <v>475.824334828081</v>
      </c>
      <c r="S37" s="7" t="n">
        <f aca="false">MAX(S36*Допущения!$D$44,S12*Допущения!$D$45)</f>
        <v>514.548380056796</v>
      </c>
      <c r="T37" s="7" t="n">
        <f aca="false">MAX(T36*Допущения!$D$44,T12*Допущения!$D$45)</f>
        <v>550.923723588394</v>
      </c>
      <c r="U37" s="7" t="n">
        <f aca="false">MAX(U36*Допущения!$D$44,U12*Допущения!$D$45)</f>
        <v>599.536043009495</v>
      </c>
      <c r="V37" s="7" t="n">
        <f aca="false">MAX(V36*Допущения!$D$44,V12*Допущения!$D$45)</f>
        <v>645.258008928531</v>
      </c>
      <c r="W37" s="7" t="n">
        <f aca="false">MAX(W36*Допущения!$D$44,W12*Допущения!$D$45)</f>
        <v>688.376417236341</v>
      </c>
      <c r="X37" s="7" t="n">
        <f aca="false">MAX(X36*Допущения!$D$44,X12*Допущения!$D$45)</f>
        <v>743.413457937849</v>
      </c>
      <c r="Y37" s="7" t="n">
        <f aca="false">MAX(Y36*Допущения!$D$44,Y12*Допущения!$D$45)</f>
        <v>795.3985994387</v>
      </c>
      <c r="Z37" s="8" t="s">
        <v>258</v>
      </c>
    </row>
    <row r="38" customFormat="false" ht="15" hidden="false" customHeight="false" outlineLevel="0" collapsed="false">
      <c r="A38" s="5" t="s">
        <v>259</v>
      </c>
      <c r="B38" s="14" t="n">
        <f aca="false">B35+B37</f>
        <v>0</v>
      </c>
      <c r="C38" s="14" t="n">
        <f aca="false">C35+C37</f>
        <v>0</v>
      </c>
      <c r="D38" s="14" t="n">
        <f aca="false">D35+D37</f>
        <v>0</v>
      </c>
      <c r="E38" s="14" t="n">
        <f aca="false">E35+E37</f>
        <v>44.43925</v>
      </c>
      <c r="F38" s="14" t="n">
        <f aca="false">F35+F37</f>
        <v>85.1106492555555</v>
      </c>
      <c r="G38" s="14" t="n">
        <f aca="false">G35+G37</f>
        <v>122.410227683094</v>
      </c>
      <c r="H38" s="14" t="n">
        <f aca="false">H35+H37</f>
        <v>156.690842692658</v>
      </c>
      <c r="I38" s="14" t="n">
        <f aca="false">I35+I37</f>
        <v>188.267190127036</v>
      </c>
      <c r="J38" s="14" t="n">
        <f aca="false">J35+J37</f>
        <v>217.42020695655</v>
      </c>
      <c r="K38" s="14" t="n">
        <f aca="false">K35+K37</f>
        <v>244.400942773</v>
      </c>
      <c r="L38" s="14" t="n">
        <f aca="false">L35+L37</f>
        <v>269.433966999964</v>
      </c>
      <c r="M38" s="14" t="n">
        <f aca="false">M35+M37</f>
        <v>307.301675542814</v>
      </c>
      <c r="N38" s="14" t="n">
        <f aca="false">N35+N37</f>
        <v>342.481299691889</v>
      </c>
      <c r="O38" s="14" t="n">
        <f aca="false">O35+O37</f>
        <v>375.246309575905</v>
      </c>
      <c r="P38" s="14" t="n">
        <f aca="false">P35+P37</f>
        <v>405.842266326534</v>
      </c>
      <c r="Q38" s="14" t="n">
        <f aca="false">Q35+Q37</f>
        <v>434.489909960313</v>
      </c>
      <c r="R38" s="14" t="n">
        <f aca="false">R35+R37</f>
        <v>475.824334828081</v>
      </c>
      <c r="S38" s="14" t="n">
        <f aca="false">S35+S37</f>
        <v>514.548380056796</v>
      </c>
      <c r="T38" s="14" t="n">
        <f aca="false">T35+T37</f>
        <v>550.923723588394</v>
      </c>
      <c r="U38" s="14" t="n">
        <f aca="false">U35+U37</f>
        <v>599.536043009495</v>
      </c>
      <c r="V38" s="14" t="n">
        <f aca="false">V35+V37</f>
        <v>645.258008928531</v>
      </c>
      <c r="W38" s="14" t="n">
        <f aca="false">W35+W37</f>
        <v>688.376417236341</v>
      </c>
      <c r="X38" s="14" t="n">
        <f aca="false">X35+X37</f>
        <v>743.413457937849</v>
      </c>
      <c r="Y38" s="14" t="n">
        <f aca="false">Y35+Y37</f>
        <v>795.3985994387</v>
      </c>
    </row>
    <row r="39" customFormat="false" ht="15" hidden="false" customHeight="false" outlineLevel="0" collapsed="false">
      <c r="A39" s="3" t="s">
        <v>260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customFormat="false" ht="15" hidden="false" customHeight="false" outlineLevel="0" collapsed="false">
      <c r="A40" s="5" t="s">
        <v>261</v>
      </c>
      <c r="B40" s="14" t="n">
        <f aca="false">B12-B32</f>
        <v>-115835.9</v>
      </c>
      <c r="C40" s="14" t="n">
        <f aca="false">C12-C32</f>
        <v>-115835.9</v>
      </c>
      <c r="D40" s="14" t="n">
        <f aca="false">D12-D32</f>
        <v>-115835.9</v>
      </c>
      <c r="E40" s="14" t="n">
        <f aca="false">E12-E32</f>
        <v>-161987.195</v>
      </c>
      <c r="F40" s="14" t="n">
        <f aca="false">F12-F32</f>
        <v>-158441.012320722</v>
      </c>
      <c r="G40" s="14" t="n">
        <f aca="false">G12-G32</f>
        <v>-155191.206514314</v>
      </c>
      <c r="H40" s="14" t="n">
        <f aca="false">H12-H32</f>
        <v>-152206.750530169</v>
      </c>
      <c r="I40" s="14" t="n">
        <f aca="false">I12-I32</f>
        <v>-149459.976717934</v>
      </c>
      <c r="J40" s="14" t="n">
        <f aca="false">J12-J32</f>
        <v>-146926.188961751</v>
      </c>
      <c r="K40" s="14" t="n">
        <f aca="false">K12-K32</f>
        <v>-144583.321647972</v>
      </c>
      <c r="L40" s="14" t="n">
        <f aca="false">L12-L32</f>
        <v>-142411.639562642</v>
      </c>
      <c r="M40" s="14" t="n">
        <f aca="false">M12-M32</f>
        <v>-139170.834142982</v>
      </c>
      <c r="N40" s="14" t="n">
        <f aca="false">N12-N32</f>
        <v>-186118.427075994</v>
      </c>
      <c r="O40" s="14" t="n">
        <f aca="false">O12-O32</f>
        <v>-183278.199432006</v>
      </c>
      <c r="P40" s="14" t="n">
        <f aca="false">P12-P32</f>
        <v>-180628.583307597</v>
      </c>
      <c r="Q40" s="14" t="n">
        <f aca="false">Q12-Q32</f>
        <v>-178150.194160376</v>
      </c>
      <c r="R40" s="14" t="n">
        <f aca="false">R12-R32</f>
        <v>-174640.614864668</v>
      </c>
      <c r="S40" s="14" t="n">
        <f aca="false">S12-S32</f>
        <v>-171288.67867843</v>
      </c>
      <c r="T40" s="14" t="n">
        <f aca="false">T12-T32</f>
        <v>-168143.121707757</v>
      </c>
      <c r="U40" s="14" t="n">
        <f aca="false">U12-U32</f>
        <v>-164020.841324632</v>
      </c>
      <c r="V40" s="14" t="n">
        <f aca="false">V12-V32</f>
        <v>-160066.437715154</v>
      </c>
      <c r="W40" s="14" t="n">
        <f aca="false">W12-W32</f>
        <v>-156340.794548108</v>
      </c>
      <c r="X40" s="14" t="n">
        <f aca="false">X12-X32</f>
        <v>-151681.361722966</v>
      </c>
      <c r="Y40" s="14" t="n">
        <f aca="false">Y12-Y32</f>
        <v>-147189.656789729</v>
      </c>
    </row>
    <row r="41" customFormat="false" ht="15" hidden="false" customHeight="false" outlineLevel="0" collapsed="false">
      <c r="A41" s="5" t="s">
        <v>262</v>
      </c>
      <c r="B41" s="14" t="n">
        <f aca="false">B40-B38</f>
        <v>-115835.9</v>
      </c>
      <c r="C41" s="14" t="n">
        <f aca="false">C40-C38</f>
        <v>-115835.9</v>
      </c>
      <c r="D41" s="14" t="n">
        <f aca="false">D40-D38</f>
        <v>-115835.9</v>
      </c>
      <c r="E41" s="14" t="n">
        <f aca="false">E40-E38</f>
        <v>-162031.63425</v>
      </c>
      <c r="F41" s="14" t="n">
        <f aca="false">F40-F38</f>
        <v>-158526.122969978</v>
      </c>
      <c r="G41" s="14" t="n">
        <f aca="false">G40-G38</f>
        <v>-155313.616741997</v>
      </c>
      <c r="H41" s="14" t="n">
        <f aca="false">H40-H38</f>
        <v>-152363.441372861</v>
      </c>
      <c r="I41" s="14" t="n">
        <f aca="false">I40-I38</f>
        <v>-149648.243908061</v>
      </c>
      <c r="J41" s="14" t="n">
        <f aca="false">J40-J38</f>
        <v>-147143.609168708</v>
      </c>
      <c r="K41" s="14" t="n">
        <f aca="false">K40-K38</f>
        <v>-144827.722590745</v>
      </c>
      <c r="L41" s="14" t="n">
        <f aca="false">L40-L38</f>
        <v>-142681.073529642</v>
      </c>
      <c r="M41" s="14" t="n">
        <f aca="false">M40-M38</f>
        <v>-139478.135818525</v>
      </c>
      <c r="N41" s="14" t="n">
        <f aca="false">N40-N38</f>
        <v>-186460.908375686</v>
      </c>
      <c r="O41" s="14" t="n">
        <f aca="false">O40-O38</f>
        <v>-183653.445741582</v>
      </c>
      <c r="P41" s="14" t="n">
        <f aca="false">P40-P38</f>
        <v>-181034.425573924</v>
      </c>
      <c r="Q41" s="14" t="n">
        <f aca="false">Q40-Q38</f>
        <v>-178584.684070336</v>
      </c>
      <c r="R41" s="14" t="n">
        <f aca="false">R40-R38</f>
        <v>-175116.439199496</v>
      </c>
      <c r="S41" s="14" t="n">
        <f aca="false">S40-S38</f>
        <v>-171803.227058487</v>
      </c>
      <c r="T41" s="14" t="n">
        <f aca="false">T40-T38</f>
        <v>-168694.045431345</v>
      </c>
      <c r="U41" s="14" t="n">
        <f aca="false">U40-U38</f>
        <v>-164620.377367642</v>
      </c>
      <c r="V41" s="14" t="n">
        <f aca="false">V40-V38</f>
        <v>-160711.695724083</v>
      </c>
      <c r="W41" s="14" t="n">
        <f aca="false">W40-W38</f>
        <v>-157029.170965345</v>
      </c>
      <c r="X41" s="14" t="n">
        <f aca="false">X40-X38</f>
        <v>-152424.775180904</v>
      </c>
      <c r="Y41" s="14" t="n">
        <f aca="false">Y40-Y38</f>
        <v>-147985.055389167</v>
      </c>
    </row>
    <row r="42" customFormat="false" ht="15" hidden="false" customHeight="false" outlineLevel="0" collapsed="false">
      <c r="A42" s="5" t="s">
        <v>263</v>
      </c>
      <c r="B42" s="14" t="n">
        <f aca="false">B13-B32-B38</f>
        <v>-115835.9</v>
      </c>
      <c r="C42" s="14" t="n">
        <f aca="false">C13-C32-C38</f>
        <v>-115835.9</v>
      </c>
      <c r="D42" s="14" t="n">
        <f aca="false">D13-D32-D38</f>
        <v>-115835.9</v>
      </c>
      <c r="E42" s="14" t="n">
        <f aca="false">E13-E32-E38</f>
        <v>-160597.50925</v>
      </c>
      <c r="F42" s="14" t="n">
        <f aca="false">F13-F32-F38</f>
        <v>-156613.956303311</v>
      </c>
      <c r="G42" s="14" t="n">
        <f aca="false">G13-G32-G38</f>
        <v>-152923.408408664</v>
      </c>
      <c r="H42" s="14" t="n">
        <f aca="false">H13-H32-H38</f>
        <v>-149495.191372861</v>
      </c>
      <c r="I42" s="14" t="n">
        <f aca="false">I13-I32-I38</f>
        <v>-146301.952241394</v>
      </c>
      <c r="J42" s="14" t="n">
        <f aca="false">J13-J32-J38</f>
        <v>-143319.275835374</v>
      </c>
      <c r="K42" s="14" t="n">
        <f aca="false">K13-K32-K38</f>
        <v>-140525.347590745</v>
      </c>
      <c r="L42" s="14" t="n">
        <f aca="false">L13-L32-L38</f>
        <v>-137900.656862975</v>
      </c>
      <c r="M42" s="14" t="n">
        <f aca="false">M13-M32-M38</f>
        <v>-132466.858040747</v>
      </c>
      <c r="N42" s="14" t="n">
        <f aca="false">N13-N32-N38</f>
        <v>-178812.24170902</v>
      </c>
      <c r="O42" s="14" t="n">
        <f aca="false">O13-O32-O38</f>
        <v>-175367.390186027</v>
      </c>
      <c r="P42" s="14" t="n">
        <f aca="false">P13-P32-P38</f>
        <v>-172110.98112948</v>
      </c>
      <c r="Q42" s="14" t="n">
        <f aca="false">Q13-Q32-Q38</f>
        <v>-169023.850737003</v>
      </c>
      <c r="R42" s="14" t="n">
        <f aca="false">R13-R32-R38</f>
        <v>-162368.661421718</v>
      </c>
      <c r="S42" s="14" t="n">
        <f aca="false">S13-S32-S38</f>
        <v>-158258.713169598</v>
      </c>
      <c r="T42" s="14" t="n">
        <f aca="false">T13-T32-T38</f>
        <v>-154352.795431345</v>
      </c>
      <c r="U42" s="14" t="n">
        <f aca="false">U13-U32-U38</f>
        <v>-146454.794034309</v>
      </c>
      <c r="V42" s="14" t="n">
        <f aca="false">V13-V32-V38</f>
        <v>-141590.029057416</v>
      </c>
      <c r="W42" s="14" t="n">
        <f aca="false">W13-W32-W38</f>
        <v>-136951.420965345</v>
      </c>
      <c r="X42" s="14" t="n">
        <f aca="false">X13-X32-X38</f>
        <v>-127885.302958681</v>
      </c>
      <c r="Y42" s="14" t="n">
        <f aca="false">Y13-Y32-Y38</f>
        <v>-122330.15261139</v>
      </c>
    </row>
    <row r="43" customFormat="false" ht="15" hidden="false" customHeight="false" outlineLevel="0" collapsed="false">
      <c r="A43" s="5" t="s">
        <v>264</v>
      </c>
      <c r="B43" s="14" t="n">
        <f aca="false">Допущения!$D$52+B42</f>
        <v>384164.1</v>
      </c>
      <c r="C43" s="14" t="n">
        <f aca="false">B43+C42</f>
        <v>268328.2</v>
      </c>
      <c r="D43" s="14" t="n">
        <f aca="false">C43+D42</f>
        <v>152492.3</v>
      </c>
      <c r="E43" s="14" t="n">
        <f aca="false">D43+E42</f>
        <v>-8105.20925000004</v>
      </c>
      <c r="F43" s="14" t="n">
        <f aca="false">E43+F42</f>
        <v>-164719.165553311</v>
      </c>
      <c r="G43" s="14" t="n">
        <f aca="false">F43+G42</f>
        <v>-317642.573961975</v>
      </c>
      <c r="H43" s="14" t="n">
        <f aca="false">G43+H42</f>
        <v>-467137.765334837</v>
      </c>
      <c r="I43" s="14" t="n">
        <f aca="false">H43+I42</f>
        <v>-613439.717576231</v>
      </c>
      <c r="J43" s="14" t="n">
        <f aca="false">I43+J42</f>
        <v>-756758.993411605</v>
      </c>
      <c r="K43" s="14" t="n">
        <f aca="false">J43+K42</f>
        <v>-897284.34100235</v>
      </c>
      <c r="L43" s="14" t="n">
        <f aca="false">K43+L42</f>
        <v>-1035184.99786532</v>
      </c>
      <c r="M43" s="14" t="n">
        <f aca="false">L43+M42</f>
        <v>-1167651.85590607</v>
      </c>
      <c r="N43" s="14" t="n">
        <f aca="false">M43+N42</f>
        <v>-1346464.09761509</v>
      </c>
      <c r="O43" s="14" t="n">
        <f aca="false">N43+O42</f>
        <v>-1521831.48780112</v>
      </c>
      <c r="P43" s="14" t="n">
        <f aca="false">O43+P42</f>
        <v>-1693942.4689306</v>
      </c>
      <c r="Q43" s="14" t="n">
        <f aca="false">P43+Q42</f>
        <v>-1862966.3196676</v>
      </c>
      <c r="R43" s="14" t="n">
        <f aca="false">Q43+R42</f>
        <v>-2025334.98108932</v>
      </c>
      <c r="S43" s="14" t="n">
        <f aca="false">R43+S42</f>
        <v>-2183593.69425892</v>
      </c>
      <c r="T43" s="14" t="n">
        <f aca="false">S43+T42</f>
        <v>-2337946.48969026</v>
      </c>
      <c r="U43" s="14" t="n">
        <f aca="false">T43+U42</f>
        <v>-2484401.28372457</v>
      </c>
      <c r="V43" s="14" t="n">
        <f aca="false">U43+V42</f>
        <v>-2625991.31278199</v>
      </c>
      <c r="W43" s="14" t="n">
        <f aca="false">V43+W42</f>
        <v>-2762942.73374733</v>
      </c>
      <c r="X43" s="14" t="n">
        <f aca="false">W43+X42</f>
        <v>-2890828.03670601</v>
      </c>
      <c r="Y43" s="14" t="n">
        <f aca="false">X43+Y42</f>
        <v>-3013158.1893174</v>
      </c>
      <c r="Z43" s="8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86"/>
  </cols>
  <sheetData>
    <row r="1" customFormat="false" ht="17.3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271</v>
      </c>
    </row>
    <row r="4" customFormat="false" ht="31.5" hidden="false" customHeight="true" outlineLevel="0" collapsed="false">
      <c r="A4" s="30" t="s">
        <v>272</v>
      </c>
      <c r="B4" s="30"/>
      <c r="C4" s="30"/>
    </row>
    <row r="5" customFormat="false" ht="33.75" hidden="false" customHeight="true" outlineLevel="0" collapsed="false">
      <c r="A5" s="17" t="s">
        <v>46</v>
      </c>
      <c r="B5" s="18" t="s">
        <v>273</v>
      </c>
      <c r="C5" s="18"/>
    </row>
    <row r="6" customFormat="false" ht="33.75" hidden="false" customHeight="true" outlineLevel="0" collapsed="false">
      <c r="A6" s="17" t="s">
        <v>46</v>
      </c>
      <c r="B6" s="18" t="s">
        <v>274</v>
      </c>
      <c r="C6" s="18"/>
    </row>
    <row r="7" customFormat="false" ht="33.75" hidden="false" customHeight="true" outlineLevel="0" collapsed="false">
      <c r="A7" s="17" t="s">
        <v>46</v>
      </c>
      <c r="B7" s="18" t="s">
        <v>275</v>
      </c>
      <c r="C7" s="18"/>
    </row>
    <row r="8" customFormat="false" ht="33.75" hidden="false" customHeight="true" outlineLevel="0" collapsed="false">
      <c r="A8" s="17" t="s">
        <v>46</v>
      </c>
      <c r="B8" s="18" t="s">
        <v>276</v>
      </c>
      <c r="C8" s="18"/>
    </row>
    <row r="10" customFormat="false" ht="15" hidden="false" customHeight="false" outlineLevel="0" collapsed="false">
      <c r="A10" s="16" t="s">
        <v>277</v>
      </c>
    </row>
    <row r="11" customFormat="false" ht="15" hidden="false" customHeight="false" outlineLevel="0" collapsed="false">
      <c r="A11" s="19" t="s">
        <v>3</v>
      </c>
      <c r="B11" s="19" t="s">
        <v>278</v>
      </c>
      <c r="C11" s="19" t="s">
        <v>279</v>
      </c>
    </row>
    <row r="12" customFormat="false" ht="30" hidden="false" customHeight="true" outlineLevel="0" collapsed="false">
      <c r="A12" s="17" t="s">
        <v>280</v>
      </c>
      <c r="B12" s="14" t="n">
        <f aca="false">Допущения!$C$48</f>
        <v>27093</v>
      </c>
      <c r="C12" s="8" t="s">
        <v>281</v>
      </c>
    </row>
    <row r="13" customFormat="false" ht="30" hidden="false" customHeight="true" outlineLevel="0" collapsed="false">
      <c r="A13" s="17" t="s">
        <v>282</v>
      </c>
      <c r="B13" s="31" t="n">
        <f aca="false">Допущения!$C$49</f>
        <v>0.3</v>
      </c>
      <c r="C13" s="8" t="s">
        <v>283</v>
      </c>
    </row>
    <row r="14" customFormat="false" ht="30" hidden="false" customHeight="true" outlineLevel="0" collapsed="false">
      <c r="A14" s="17" t="s">
        <v>284</v>
      </c>
      <c r="B14" s="14" t="n">
        <f aca="false">Допущения!$C$48*Допущения!$C$49</f>
        <v>8127.9</v>
      </c>
      <c r="C14" s="8" t="s">
        <v>285</v>
      </c>
    </row>
    <row r="15" customFormat="false" ht="30" hidden="false" customHeight="true" outlineLevel="0" collapsed="false">
      <c r="A15" s="17" t="s">
        <v>286</v>
      </c>
      <c r="B15" s="14" t="n">
        <f aca="false">Допущения!$C$48*Допущения!$C$49*12</f>
        <v>97534.8</v>
      </c>
      <c r="C15" s="8" t="s">
        <v>287</v>
      </c>
    </row>
    <row r="16" customFormat="false" ht="30" hidden="false" customHeight="true" outlineLevel="0" collapsed="false">
      <c r="A16" s="17" t="s">
        <v>288</v>
      </c>
      <c r="B16" s="14" t="n">
        <f aca="false">Допущения!$C$48*Допущения!$C$49*12*2</f>
        <v>195069.6</v>
      </c>
      <c r="C16" s="8" t="s">
        <v>289</v>
      </c>
    </row>
    <row r="18" customFormat="false" ht="15" hidden="false" customHeight="false" outlineLevel="0" collapsed="false">
      <c r="A18" s="16" t="s">
        <v>290</v>
      </c>
    </row>
    <row r="19" customFormat="false" ht="30" hidden="false" customHeight="true" outlineLevel="0" collapsed="false">
      <c r="A19" s="17" t="s">
        <v>291</v>
      </c>
      <c r="B19" s="15" t="n">
        <f aca="false">Допущения!$C$48*Допущения!$C$49*36</f>
        <v>292604.4</v>
      </c>
      <c r="C19" s="8" t="s">
        <v>292</v>
      </c>
    </row>
    <row r="20" customFormat="false" ht="30" hidden="false" customHeight="true" outlineLevel="0" collapsed="false">
      <c r="A20" s="17" t="s">
        <v>293</v>
      </c>
      <c r="B20" s="15" t="n">
        <f aca="false">Допущения!$C$48*Допущения!$C$49*36*0.2</f>
        <v>58520.88</v>
      </c>
      <c r="C20" s="8" t="s">
        <v>294</v>
      </c>
    </row>
    <row r="21" customFormat="false" ht="30" hidden="false" customHeight="true" outlineLevel="0" collapsed="false">
      <c r="A21" s="17" t="s">
        <v>295</v>
      </c>
      <c r="B21" s="15" t="n">
        <f aca="false">Допущения!$C$48*Допущения!$C$49*36*0.24</f>
        <v>70225.056</v>
      </c>
      <c r="C21" s="8" t="s">
        <v>296</v>
      </c>
    </row>
    <row r="22" customFormat="false" ht="30" hidden="false" customHeight="true" outlineLevel="0" collapsed="false">
      <c r="A22" s="17" t="s">
        <v>297</v>
      </c>
      <c r="B22" s="15" t="n">
        <f aca="false">Допущения!$C$48*Допущения!$C$49*36*1.44</f>
        <v>421350.336</v>
      </c>
      <c r="C22" s="8" t="s">
        <v>298</v>
      </c>
    </row>
    <row r="24" customFormat="false" ht="15" hidden="false" customHeight="false" outlineLevel="0" collapsed="false">
      <c r="A24" s="16" t="s">
        <v>299</v>
      </c>
    </row>
    <row r="25" customFormat="false" ht="15" hidden="false" customHeight="false" outlineLevel="0" collapsed="false">
      <c r="A25" s="5" t="s">
        <v>300</v>
      </c>
    </row>
    <row r="26" customFormat="false" ht="45.75" hidden="false" customHeight="true" outlineLevel="0" collapsed="false">
      <c r="A26" s="18" t="s">
        <v>301</v>
      </c>
      <c r="B26" s="18"/>
      <c r="C26" s="18"/>
    </row>
    <row r="28" customFormat="false" ht="15" hidden="false" customHeight="false" outlineLevel="0" collapsed="false">
      <c r="A28" s="5" t="s">
        <v>302</v>
      </c>
    </row>
    <row r="29" customFormat="false" ht="45.75" hidden="false" customHeight="true" outlineLevel="0" collapsed="false">
      <c r="A29" s="18" t="s">
        <v>303</v>
      </c>
      <c r="B29" s="18"/>
      <c r="C29" s="18"/>
    </row>
    <row r="31" customFormat="false" ht="15" hidden="false" customHeight="false" outlineLevel="0" collapsed="false">
      <c r="A31" s="5" t="s">
        <v>304</v>
      </c>
    </row>
    <row r="32" customFormat="false" ht="45.75" hidden="false" customHeight="true" outlineLevel="0" collapsed="false">
      <c r="A32" s="18" t="s">
        <v>305</v>
      </c>
      <c r="B32" s="18"/>
      <c r="C32" s="18"/>
    </row>
    <row r="34" customFormat="false" ht="15" hidden="false" customHeight="false" outlineLevel="0" collapsed="false">
      <c r="A34" s="16" t="s">
        <v>306</v>
      </c>
    </row>
    <row r="35" customFormat="false" ht="45.75" hidden="false" customHeight="true" outlineLevel="0" collapsed="false">
      <c r="A35" s="18" t="s">
        <v>307</v>
      </c>
      <c r="B35" s="18"/>
      <c r="C35" s="18"/>
    </row>
    <row r="36" customFormat="false" ht="39.75" hidden="false" customHeight="true" outlineLevel="0" collapsed="false">
      <c r="A36" s="17" t="s">
        <v>46</v>
      </c>
      <c r="B36" s="18" t="s">
        <v>308</v>
      </c>
      <c r="C36" s="18"/>
    </row>
    <row r="37" customFormat="false" ht="39.75" hidden="false" customHeight="true" outlineLevel="0" collapsed="false">
      <c r="A37" s="17" t="s">
        <v>46</v>
      </c>
      <c r="B37" s="18" t="s">
        <v>309</v>
      </c>
      <c r="C37" s="18"/>
    </row>
    <row r="38" customFormat="false" ht="39.75" hidden="false" customHeight="true" outlineLevel="0" collapsed="false">
      <c r="A38" s="17" t="s">
        <v>46</v>
      </c>
      <c r="B38" s="18" t="s">
        <v>310</v>
      </c>
      <c r="C38" s="18"/>
    </row>
    <row r="39" customFormat="false" ht="39.75" hidden="false" customHeight="true" outlineLevel="0" collapsed="false">
      <c r="A39" s="17" t="s">
        <v>46</v>
      </c>
      <c r="B39" s="18" t="s">
        <v>311</v>
      </c>
      <c r="C39" s="18"/>
    </row>
    <row r="41" customFormat="false" ht="15" hidden="false" customHeight="false" outlineLevel="0" collapsed="false">
      <c r="A41" s="16" t="s">
        <v>312</v>
      </c>
    </row>
    <row r="42" customFormat="false" ht="15" hidden="false" customHeight="false" outlineLevel="0" collapsed="false">
      <c r="A42" s="19" t="s">
        <v>3</v>
      </c>
      <c r="B42" s="19" t="s">
        <v>278</v>
      </c>
      <c r="C42" s="19" t="s">
        <v>279</v>
      </c>
    </row>
    <row r="43" customFormat="false" ht="31.5" hidden="false" customHeight="true" outlineLevel="0" collapsed="false">
      <c r="A43" s="17" t="s">
        <v>313</v>
      </c>
      <c r="B43" s="15" t="n">
        <f aca="false">(Допущения!$C$40*9+Допущения!$C$42*12)</f>
        <v>1650000</v>
      </c>
      <c r="C43" s="8" t="s">
        <v>314</v>
      </c>
    </row>
    <row r="44" customFormat="false" ht="31.5" hidden="false" customHeight="true" outlineLevel="0" collapsed="false">
      <c r="A44" s="17" t="s">
        <v>315</v>
      </c>
      <c r="B44" s="15" t="n">
        <f aca="false">(Допущения!$C$40*9+Допущения!$C$42*12)*Допущения!$C$49</f>
        <v>495000</v>
      </c>
      <c r="C44" s="8" t="s">
        <v>316</v>
      </c>
    </row>
    <row r="45" customFormat="false" ht="31.5" hidden="false" customHeight="true" outlineLevel="0" collapsed="false">
      <c r="A45" s="17" t="s">
        <v>293</v>
      </c>
      <c r="B45" s="15" t="n">
        <f aca="false">(Допущения!$C$40*9+Допущения!$C$42*12)*Допущения!$C$49*0.2</f>
        <v>99000</v>
      </c>
      <c r="C45" s="8" t="s">
        <v>317</v>
      </c>
    </row>
    <row r="46" customFormat="false" ht="31.5" hidden="false" customHeight="true" outlineLevel="0" collapsed="false">
      <c r="A46" s="17" t="s">
        <v>318</v>
      </c>
      <c r="B46" s="15" t="n">
        <f aca="false">(Допущения!$C$40*9+Допущения!$C$42*12)*Допущения!$C$49*1.2</f>
        <v>594000</v>
      </c>
      <c r="C46" s="8" t="s">
        <v>319</v>
      </c>
    </row>
    <row r="48" customFormat="false" ht="15" hidden="false" customHeight="false" outlineLevel="0" collapsed="false">
      <c r="A48" s="16" t="s">
        <v>320</v>
      </c>
    </row>
    <row r="49" customFormat="false" ht="15" hidden="false" customHeight="false" outlineLevel="0" collapsed="false">
      <c r="A49" s="5" t="s">
        <v>321</v>
      </c>
    </row>
    <row r="50" customFormat="false" ht="57.75" hidden="false" customHeight="true" outlineLevel="0" collapsed="false">
      <c r="A50" s="18" t="s">
        <v>322</v>
      </c>
      <c r="B50" s="18"/>
      <c r="C50" s="18"/>
    </row>
    <row r="52" customFormat="false" ht="15" hidden="false" customHeight="false" outlineLevel="0" collapsed="false">
      <c r="A52" s="5" t="s">
        <v>323</v>
      </c>
    </row>
    <row r="53" customFormat="false" ht="57.75" hidden="false" customHeight="true" outlineLevel="0" collapsed="false">
      <c r="A53" s="18" t="s">
        <v>324</v>
      </c>
      <c r="B53" s="18"/>
      <c r="C53" s="18"/>
    </row>
    <row r="55" customFormat="false" ht="15" hidden="false" customHeight="false" outlineLevel="0" collapsed="false">
      <c r="A55" s="5" t="s">
        <v>325</v>
      </c>
    </row>
    <row r="56" customFormat="false" ht="57.75" hidden="false" customHeight="true" outlineLevel="0" collapsed="false">
      <c r="A56" s="18" t="s">
        <v>326</v>
      </c>
      <c r="B56" s="18"/>
      <c r="C56" s="18"/>
    </row>
    <row r="58" customFormat="false" ht="15" hidden="false" customHeight="false" outlineLevel="0" collapsed="false">
      <c r="A58" s="5" t="s">
        <v>327</v>
      </c>
    </row>
    <row r="59" customFormat="false" ht="57.75" hidden="false" customHeight="true" outlineLevel="0" collapsed="false">
      <c r="A59" s="18" t="s">
        <v>328</v>
      </c>
      <c r="B59" s="18"/>
      <c r="C59" s="18"/>
    </row>
    <row r="61" customFormat="false" ht="15" hidden="false" customHeight="false" outlineLevel="0" collapsed="false">
      <c r="A61" s="5" t="s">
        <v>329</v>
      </c>
    </row>
    <row r="62" customFormat="false" ht="57.75" hidden="false" customHeight="true" outlineLevel="0" collapsed="false">
      <c r="A62" s="18" t="s">
        <v>330</v>
      </c>
      <c r="B62" s="18"/>
      <c r="C62" s="18"/>
    </row>
    <row r="64" customFormat="false" ht="15" hidden="false" customHeight="false" outlineLevel="0" collapsed="false">
      <c r="A64" s="16" t="s">
        <v>331</v>
      </c>
    </row>
    <row r="65" customFormat="false" ht="15" hidden="false" customHeight="false" outlineLevel="0" collapsed="false">
      <c r="A65" s="5" t="s">
        <v>332</v>
      </c>
    </row>
    <row r="66" customFormat="false" ht="45.75" hidden="false" customHeight="true" outlineLevel="0" collapsed="false">
      <c r="A66" s="18" t="s">
        <v>333</v>
      </c>
      <c r="B66" s="18"/>
      <c r="C66" s="18"/>
    </row>
    <row r="68" customFormat="false" ht="15" hidden="false" customHeight="false" outlineLevel="0" collapsed="false">
      <c r="A68" s="5" t="s">
        <v>334</v>
      </c>
    </row>
    <row r="69" customFormat="false" ht="45.75" hidden="false" customHeight="true" outlineLevel="0" collapsed="false">
      <c r="A69" s="18" t="s">
        <v>335</v>
      </c>
      <c r="B69" s="18"/>
      <c r="C69" s="18"/>
    </row>
    <row r="71" customFormat="false" ht="15" hidden="false" customHeight="false" outlineLevel="0" collapsed="false">
      <c r="A71" s="5" t="s">
        <v>336</v>
      </c>
    </row>
    <row r="72" customFormat="false" ht="45.75" hidden="false" customHeight="true" outlineLevel="0" collapsed="false">
      <c r="A72" s="18" t="s">
        <v>337</v>
      </c>
      <c r="B72" s="18"/>
      <c r="C72" s="18"/>
    </row>
    <row r="74" customFormat="false" ht="15" hidden="false" customHeight="false" outlineLevel="0" collapsed="false">
      <c r="A74" s="5" t="s">
        <v>338</v>
      </c>
    </row>
    <row r="75" customFormat="false" ht="45.75" hidden="false" customHeight="true" outlineLevel="0" collapsed="false">
      <c r="A75" s="18" t="s">
        <v>339</v>
      </c>
      <c r="B75" s="18"/>
      <c r="C75" s="18"/>
    </row>
    <row r="77" customFormat="false" ht="15" hidden="false" customHeight="false" outlineLevel="0" collapsed="false">
      <c r="A77" s="16" t="s">
        <v>340</v>
      </c>
    </row>
    <row r="78" customFormat="false" ht="15" hidden="false" customHeight="false" outlineLevel="0" collapsed="false">
      <c r="A78" s="2" t="s">
        <v>341</v>
      </c>
    </row>
    <row r="79" customFormat="false" ht="15" hidden="false" customHeight="false" outlineLevel="0" collapsed="false">
      <c r="A79" s="2" t="s">
        <v>342</v>
      </c>
    </row>
    <row r="80" customFormat="false" ht="15" hidden="false" customHeight="false" outlineLevel="0" collapsed="false">
      <c r="A80" s="2" t="s">
        <v>343</v>
      </c>
    </row>
    <row r="81" customFormat="false" ht="15" hidden="false" customHeight="false" outlineLevel="0" collapsed="false">
      <c r="A81" s="2" t="s">
        <v>344</v>
      </c>
    </row>
    <row r="82" customFormat="false" ht="15" hidden="false" customHeight="false" outlineLevel="0" collapsed="false">
      <c r="A82" s="2" t="s">
        <v>345</v>
      </c>
    </row>
    <row r="83" customFormat="false" ht="15" hidden="false" customHeight="false" outlineLevel="0" collapsed="false">
      <c r="A83" s="2" t="s">
        <v>346</v>
      </c>
    </row>
  </sheetData>
  <mergeCells count="22">
    <mergeCell ref="A4:C4"/>
    <mergeCell ref="B5:C5"/>
    <mergeCell ref="B6:C6"/>
    <mergeCell ref="B7:C7"/>
    <mergeCell ref="B8:C8"/>
    <mergeCell ref="A26:C26"/>
    <mergeCell ref="A29:C29"/>
    <mergeCell ref="A32:C32"/>
    <mergeCell ref="A35:C35"/>
    <mergeCell ref="B36:C36"/>
    <mergeCell ref="B37:C37"/>
    <mergeCell ref="B38:C38"/>
    <mergeCell ref="B39:C39"/>
    <mergeCell ref="A50:C50"/>
    <mergeCell ref="A53:C53"/>
    <mergeCell ref="A56:C56"/>
    <mergeCell ref="A59:C59"/>
    <mergeCell ref="A62:C62"/>
    <mergeCell ref="A66:C66"/>
    <mergeCell ref="A69:C69"/>
    <mergeCell ref="A72:C72"/>
    <mergeCell ref="A75:C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2026-09-22T22:25:29Z</dcterms:created>
  <dc:creator>openpyxl</dc:creator>
  <dc:description/>
  <dc:language>en-US</dc:language>
  <cp:lastModifiedBy/>
  <dcterms:modified xsi:type="dcterms:W3CDTF">2026-09-22T22:25:29Z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