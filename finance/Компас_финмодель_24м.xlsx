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Итоги" sheetId="1" state="visible" r:id="rId3"/>
    <sheet name="Единица экономики" sheetId="2" state="visible" r:id="rId4"/>
    <sheet name="Допущения" sheetId="3" state="visible" r:id="rId5"/>
    <sheet name="Расчёт 790 ₽" sheetId="4" state="visible" r:id="rId6"/>
    <sheet name="Расчёт 990 ₽" sheetId="5" state="visible" r:id="rId7"/>
    <sheet name="Расчёт 1490 ₽" sheetId="6" state="visible" r:id="rId8"/>
    <sheet name="Налоги и риски"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<sst xmlns="http://schemas.openxmlformats.org/spreadsheetml/2006/main" count="555" uniqueCount="339">
  <si>
    <t xml:space="preserve">«Компас» — финансовая модель на 24 месяца, продажа физическим лицам</t>
  </si>
  <si>
    <t xml:space="preserve">Октябрь 2026 — сентябрь 2028. Составлено 22 сентября 2026. Три колонки — три цены подписки.</t>
  </si>
  <si>
    <t xml:space="preserve">Один подписчик</t>
  </si>
  <si>
    <t xml:space="preserve">Показатель</t>
  </si>
  <si>
    <t xml:space="preserve">790 ₽</t>
  </si>
  <si>
    <t xml:space="preserve">990 ₽</t>
  </si>
  <si>
    <t xml:space="preserve">1490 ₽</t>
  </si>
  <si>
    <t xml:space="preserve">Что это значит</t>
  </si>
  <si>
    <t xml:space="preserve">Вклад одного подписчика в месяц</t>
  </si>
  <si>
    <t xml:space="preserve">Платёж минус комиссия, возвраты и ассистент.</t>
  </si>
  <si>
    <t xml:space="preserve">Сколько он принесёт за всю жизнь (LTV)</t>
  </si>
  <si>
    <t xml:space="preserve">Вклад, делённый на отток.</t>
  </si>
  <si>
    <t xml:space="preserve">Сколько стоит его привести (CAC)</t>
  </si>
  <si>
    <t xml:space="preserve">Через платное продвижение по нынешней цене регистрации.</t>
  </si>
  <si>
    <t xml:space="preserve">LTV ÷ CAC</t>
  </si>
  <si>
    <t xml:space="preserve">Ниже 1 — платное привлечение сжигает деньги. Здоровая подписка — от 3.</t>
  </si>
  <si>
    <t xml:space="preserve">Порог безубыточности, подписчиков</t>
  </si>
  <si>
    <t xml:space="preserve">Сколько платящих людей нужно, чтобы перестать терять деньги, пока нет разработчика.</t>
  </si>
  <si>
    <t xml:space="preserve">  то же с разработчиком за 50 тыс ₽</t>
  </si>
  <si>
    <t xml:space="preserve">Месяцы с 4-го по 12-й.</t>
  </si>
  <si>
    <t xml:space="preserve">  то же с разработчиком за 100 тыс ₽</t>
  </si>
  <si>
    <t xml:space="preserve">С 13-го месяца. Разница с двумя строками выше — цена решения, выраженная в людях.</t>
  </si>
  <si>
    <t xml:space="preserve">Что выходит за два года</t>
  </si>
  <si>
    <t xml:space="preserve">Платящих через 12 месяцев</t>
  </si>
  <si>
    <t xml:space="preserve">Платящих через 24 месяца</t>
  </si>
  <si>
    <t xml:space="preserve">Главное число модели: всё остальное считается от него.</t>
  </si>
  <si>
    <t xml:space="preserve">Зарегистрировано всего за 24 месяца</t>
  </si>
  <si>
    <t xml:space="preserve">Органика плюс платное продвижение.</t>
  </si>
  <si>
    <t xml:space="preserve">Выручка за 12 месяцев</t>
  </si>
  <si>
    <t xml:space="preserve">Выручка за 24 месяца</t>
  </si>
  <si>
    <t xml:space="preserve">Расходы за 24 месяца</t>
  </si>
  <si>
    <t xml:space="preserve">Налоги за 24 месяца</t>
  </si>
  <si>
    <t xml:space="preserve">УСН плюс НДС после порога. Первый год — минимальный налог 1% с дохода.</t>
  </si>
  <si>
    <t xml:space="preserve">Взносы за гендиректора за 24 месяца</t>
  </si>
  <si>
    <t xml:space="preserve">Цена решения «не заключать трудовой договор». С 2026 года она не ноль.</t>
  </si>
  <si>
    <t xml:space="preserve">Чистая прибыль за 24 месяца</t>
  </si>
  <si>
    <t xml:space="preserve">Деньги на конец 24-го месяца</t>
  </si>
  <si>
    <t xml:space="preserve">Отрицательное число — столько денег не хватило.</t>
  </si>
  <si>
    <t xml:space="preserve">Три числа, которые решают всё</t>
  </si>
  <si>
    <t xml:space="preserve">Месяц выхода в прибыль</t>
  </si>
  <si>
    <t xml:space="preserve">Первый месяц, в котором чистая прибыль положительна.</t>
  </si>
  <si>
    <t xml:space="preserve">Месяц, когда деньги уходят в минус</t>
  </si>
  <si>
    <t xml:space="preserve">До этого месяца нужно либо выйти в плюс, либо найти деньги.</t>
  </si>
  <si>
    <t xml:space="preserve">Сколько денег нужно сверх стартовых</t>
  </si>
  <si>
    <t xml:space="preserve">Самая глубокая точка минуса. Ноль означает, что стартовых хватило.</t>
  </si>
  <si>
    <t xml:space="preserve">Как читать эту таблицу</t>
  </si>
  <si>
    <t xml:space="preserve">•</t>
  </si>
  <si>
    <t xml:space="preserve">Сравнивать цены по выручке — ошибка. Смотрите на две строки: «LTV ÷ CAC» (сходится ли один человек) и «месяц выхода в прибыль» (доживаем ли мы до него на своих деньгах).</t>
  </si>
  <si>
    <t xml:space="preserve">Дорогая подписка приносит больше с человека, но людей, готовых её купить, меньше, они дольше решаются и стоят дороже в привлечении. Дешёвая — наоборот. Именно поэтому в допущениях у каждой цены свои воронка и отток, а не одни на три колонки.</t>
  </si>
  <si>
    <t xml:space="preserve">Если «LTV ÷ CAC» ниже единицы у всех трёх цен — это не приговор цене, это приговор ПЛАТНОМУ привлечению по нынешней его стоимости. Органический рост живёт по другой арифметике, и порог безубыточности показывает, сколько людей для него нужно.</t>
  </si>
  <si>
    <t xml:space="preserve">Меняйте только жёлтые клетки на листе «Допущения». Числа, помеченные «УТОЧНИТЬ», — мои оценки: хостинг, Яндекс AI, API-ФНС, деньги на старте.</t>
  </si>
  <si>
    <t xml:space="preserve">Лист «Налоги и риски» читать обязательно: там про взносы за гендиректора и про то, что добавляет именно продажа физлицам — чеки, возвраты, персональные данные.</t>
  </si>
  <si>
    <t xml:space="preserve">Единица экономики: сходится ли один подписчик</t>
  </si>
  <si>
    <t xml:space="preserve">Здесь нет роста и нет воронки — только один человек и деньги вокруг него. Если тут не сходится, никакой рост не поможет.</t>
  </si>
  <si>
    <t xml:space="preserve">Как считается и что значит</t>
  </si>
  <si>
    <t xml:space="preserve">Что приносит один подписчик</t>
  </si>
  <si>
    <t xml:space="preserve">Средний платёж в месяц</t>
  </si>
  <si>
    <t xml:space="preserve">Помесячные и годовые вперемешку: годовая подписка признаётся по 1/12 в месяц. Доля годовых взята на конец второго года.</t>
  </si>
  <si>
    <t xml:space="preserve">минус комиссия за приём платежа</t>
  </si>
  <si>
    <t xml:space="preserve">Карты физлиц. Перевод людей на СБП — самая дешёвая правка в этой таблице: комиссия падает с 3% до 0,4–0,7%.</t>
  </si>
  <si>
    <t xml:space="preserve">минус возвраты</t>
  </si>
  <si>
    <t xml:space="preserve">Возврат возможен только с годовой подписки и только за неиспользованный остаток (ст. 32 закона о защите прав потребителей), поэтому берётся годовая доля платежа, умноженная на долю отказов и на половину срока. Раньше здесь стояло 2% ВСЕЙ выручки — это было неверно по устройству.</t>
  </si>
  <si>
    <t xml:space="preserve">минус ассистент на этого подписчика</t>
  </si>
  <si>
    <t xml:space="preserve">Включённые вопросы × измеренная цена вопроса. Ограничение вопросов в тарифе делает эту строку предсказуемой: без него она растёт вместе с аппетитом.</t>
  </si>
  <si>
    <t xml:space="preserve">ВКЛАД ОДНОГО ПОДПИСЧИКА В МЕСЯЦ</t>
  </si>
  <si>
    <t xml:space="preserve">Столько он приносит на покрытие постоянных расходов.</t>
  </si>
  <si>
    <t xml:space="preserve">Сколько он живёт и сколько стоит его привести</t>
  </si>
  <si>
    <t xml:space="preserve">Срок жизни подписки, месяцев</t>
  </si>
  <si>
    <t xml:space="preserve">Обратная величина оттока.</t>
  </si>
  <si>
    <t xml:space="preserve">Вклад в месяц, делённый на отток.</t>
  </si>
  <si>
    <t xml:space="preserve">Сколько стоит привести одного платящего (CAC)</t>
  </si>
  <si>
    <t xml:space="preserve">Стоимость регистрации, делённая на долю тех, кто начинает платить. Платит-то не каждый зарегистрировавшийся, поэтому CAC во много раз больше цены регистрации.</t>
  </si>
  <si>
    <t xml:space="preserve">Ниже 1 — привлечение сжигает деньги. Обычный ориентир здоровой подписки — 3 и выше.</t>
  </si>
  <si>
    <t xml:space="preserve">Окупаемость привлечения, месяцев</t>
  </si>
  <si>
    <t xml:space="preserve">Сколько месяцев подписчик отрабатывает собственное привлечение. Больше срока жизни — не отрабатывает никогда.</t>
  </si>
  <si>
    <t xml:space="preserve">Цена регистрации, при которой привлечение окупается втрое</t>
  </si>
  <si>
    <t xml:space="preserve">Вот к какому числу нужно привести стоимость посева, чтобы платное продвижение имело смысл. Сравните с жёлтой клеткой «стоимость одной регистрации» в допущениях.</t>
  </si>
  <si>
    <t xml:space="preserve">Когда бизнес перестаёт быть убыточным</t>
  </si>
  <si>
    <t xml:space="preserve">Постоянные расходы в месяц</t>
  </si>
  <si>
    <t xml:space="preserve">Всё, что платится независимо от числа подписчиков. Регистратора здесь больше нет (это ООО), а вместо 8 128 ₽ взносов за гендиректора стоит 247 ₽ травматизма (это АУСН).</t>
  </si>
  <si>
    <t xml:space="preserve">ПОРОГ БЕЗУБЫТОЧНОСТИ, подписчиков</t>
  </si>
  <si>
    <t xml:space="preserve">Столько платящих людей нужно, чтобы перестать терять деньги. Это самое понятное число во всей модели: его можно держать в голове и сверять с фактом каждый месяц.</t>
  </si>
  <si>
    <t xml:space="preserve">  то же с разработчиком за 50 тыс ₽ (месяцы 4–12)</t>
  </si>
  <si>
    <t xml:space="preserve">Столько платящих нужно, пока идёт первая ставка.</t>
  </si>
  <si>
    <t xml:space="preserve">  то же с разработчиком за 100 тыс ₽ (с 13-го месяца)</t>
  </si>
  <si>
    <t xml:space="preserve">А столько — когда ставка вырастет. Разница между этой строкой и строкой выше и есть цена решения нанять дороже, выраженная в людях, а не в рублях.</t>
  </si>
  <si>
    <t xml:space="preserve">Выручка на пороге, ₽ в месяц</t>
  </si>
  <si>
    <t xml:space="preserve">Через сколько месяцев туда попадаем</t>
  </si>
  <si>
    <t xml:space="preserve">Номер месяца от старта — из помесячного расчёта на соседнем листе.</t>
  </si>
  <si>
    <t xml:space="preserve">Сколько подписчиков — это 20 млн ₽ в год (порог НДС)</t>
  </si>
  <si>
    <t xml:space="preserve">Порог НДС в B2C далеко: при таком чеке до него нужны тысячи человек. Это редкий случай, когда низкая цена упрощает жизнь не только покупателю.</t>
  </si>
  <si>
    <t xml:space="preserve">Что из этого следует</t>
  </si>
  <si>
    <t xml:space="preserve">Сравните строку «LTV ÷ CAC» с единицей. Если она ниже — каждый рубль, потраченный на платное привлечение, возвращается не полностью, и наращивать бюджет продвижения означает быстрее терять деньги. Рост в этом случае бывает только органическим: свой канал, поисковая выдача, пересылки, упоминания — то, где регистрация стоит не денег, а нашего времени.</t>
  </si>
  <si>
    <t xml:space="preserve">Строка «цена регистрации, при которой привлечение окупается втрое» — это задача маркетингу, выраженная одним числом. Не «сделать красиво», а «привести регистрацию дешевле, чем столько».</t>
  </si>
  <si>
    <t xml:space="preserve">Порог безубыточности — это цель на ближайший год, и она измеряется людьми, а не рублями. Сотня платящих человек понятнее, чем миллион выручки.</t>
  </si>
  <si>
    <t xml:space="preserve">Отток важнее цены. Поднять цену на 25% легко посчитать, а снизить отток с 11% до 8% даёт больше — посмотрите, как меняется LTV при правке жёлтой клетки «отток».</t>
  </si>
  <si>
    <t xml:space="preserve">Допущения модели — продаём только физическим лицам</t>
  </si>
  <si>
    <t xml:space="preserve">Три колонки — три цены подписки. Каждая считается насквозь на своём листе.</t>
  </si>
  <si>
    <t xml:space="preserve">Жёлтые клетки можно менять. Всё остальное считается формулами.</t>
  </si>
  <si>
    <t xml:space="preserve">Составлено 22 сентября 2026. Ставки налогов проверены по источникам в этот день.</t>
  </si>
  <si>
    <t xml:space="preserve">Откуда число</t>
  </si>
  <si>
    <t xml:space="preserve">Цена</t>
  </si>
  <si>
    <t xml:space="preserve">Подписка, ₽ в месяц</t>
  </si>
  <si>
    <t xml:space="preserve">Три сценария, заданные вами. Для сравнения: СПАРК продаёт рабочее место от 100 тыс ₽ в год — это другой покупатель (компания, а не человек). Наши прямые соседи (Буракова, Aspring) бесплатны, потому что они приложение к каналу и к инвестбанку, а не самостоятельный продукт.</t>
  </si>
  <si>
    <t xml:space="preserve">Подписка, ₽ в год</t>
  </si>
  <si>
    <t xml:space="preserve">Десять месяцев по цене двенадцати. Для нас годовая оплата важнее скидки: это единственный источник оборотных денег, кроме собственных.</t>
  </si>
  <si>
    <t xml:space="preserve">Доля годовых подписок к 24-му месяцу</t>
  </si>
  <si>
    <t xml:space="preserve">Чем дороже месяц, тем заметнее выгода годовой оплаты, поэтому доля растёт вместе с ценой. Растёт линейно от нуля: в первые месяцы человек платит помесячно, пока не убедился.</t>
  </si>
  <si>
    <t xml:space="preserve">Как ведёт себя подписчик-человек</t>
  </si>
  <si>
    <t xml:space="preserve">Отток в месяц (помесячные подписки)</t>
  </si>
  <si>
    <t xml:space="preserve">Главное отличие B2C от продажи компаниям: платит человек из своего кармана и уходит легко. 11% в месяц — это около 9 месяцев жизни подписки, 8,5% — около года. Дешёвая подписка отваливается чаще, потому что решение о ней принимается легче. Проверять фактом с третьего месяца продаж: это число решает всё.</t>
  </si>
  <si>
    <t xml:space="preserve">Возвраты, доля выручки</t>
  </si>
  <si>
    <t xml:space="preserve">Продажа физлицу подпадает под закон о защите прав потребителей: человек вправе отказаться и потребовать деньги за неиспользованный период. 2% — рабочая прикидка, заменить фактом.</t>
  </si>
  <si>
    <t xml:space="preserve">Воронка</t>
  </si>
  <si>
    <t xml:space="preserve">Потолок: сколько человек в России ВООБЩЕ может это купить</t>
  </si>
  <si>
    <t xml:space="preserve">Считаем от своей же базы, а не с потолка. Ядро: 286 консультационных фирм названы в наших сделках поимённо (164 юридических, 122 финансовых) — примерно по 5 человек, это ≈1 400; корпоративное развитие у ~700 компаний-покупателей, по 2 человека — ещё ≈1 400; фонды, оценщики, инхаус-юристы — ≈600. Ядро ≈3 400 человек. Остальное — те, для кого рынок сделок профессиональный интерес, а не ежедневная работа: аналитики, деловые журналисты, преподаватели и студенты профильных программ, частные инвесторы. Именно их открывает цена 790–1490 ₽, и именно поэтому при 1490 ₽ потолок ниже: студент и частный инвестор отпадают. САМОЕ ЗЫБКОЕ ЧИСЛО МОДЕЛИ.</t>
  </si>
  <si>
    <t xml:space="preserve">Максимальная доля платящих от потолка</t>
  </si>
  <si>
    <t xml:space="preserve">Сколько из тех, кто в принципе может купить, купит за два года. Дешевле — больше.</t>
  </si>
  <si>
    <t xml:space="preserve">Органических регистраций в месяц на старте</t>
  </si>
  <si>
    <t xml:space="preserve">Наш факт: 16 одобренных аккаунтов за 7 недель закрытого теста (≈10 в месяц) — и это с дверью «Запросить доступ» и без единого рубля на продвижение. Снимаем дверь, включаем канал и поиск — берём 25 с запасом на первый месяц.</t>
  </si>
  <si>
    <t xml:space="preserve">Прирост органики в месяц</t>
  </si>
  <si>
    <t xml:space="preserve">Свой канал, пересылки, поисковая выдача. Гасится по мере заполнения рынка: чем меньше осталось незарегистрированных, тем медленнее растём.</t>
  </si>
  <si>
    <t xml:space="preserve">Стоимость одной регистрации из платного продвижения, ₽</t>
  </si>
  <si>
    <t xml:space="preserve">Посев в отраслевом телеграм-канале: 10–50 тыс ₽ за размещение, 20–60 регистраций. Чем дороже подписка, тем уже аудитория и дороже попадание. ЭТО ЧИСЛО НАДО ИЗМЕРИТЬ первым же посевом — от него зависит, имеет ли платное продвижение смысл вообще.</t>
  </si>
  <si>
    <t xml:space="preserve">Доля регистраций, которые начинают платить</t>
  </si>
  <si>
    <t xml:space="preserve">Платного доступа не было ни дня — число не измерено ничем. Для бесплатной регистрации с последующей платной подпиской 3–10% — обычная вилка. Дешевле — выше.</t>
  </si>
  <si>
    <t xml:space="preserve">Задержка от регистрации до оплаты, месяцев</t>
  </si>
  <si>
    <t xml:space="preserve">Человек смотрит, возвращается, ждёт повода. Чем дороже, тем дольше думает.</t>
  </si>
  <si>
    <t xml:space="preserve">Расходы, ₽ в месяц — по вашим счетам</t>
  </si>
  <si>
    <t xml:space="preserve">Хостинг Timeweb</t>
  </si>
  <si>
    <t xml:space="preserve">ВАШ СЧЁТ. Сервер приложения и база.</t>
  </si>
  <si>
    <t xml:space="preserve">Yandex.Cloud — постоянная часть</t>
  </si>
  <si>
    <t xml:space="preserve">ВАШ СЧЁТ. Инфраструктура и текущий расход на ассистента при нынешнем числе аккаунтов. Рост от числа подписчиков считается отдельной строкой ниже.</t>
  </si>
  <si>
    <t xml:space="preserve">Claude (разработка)</t>
  </si>
  <si>
    <t xml:space="preserve">ВАШ СЧЁТ. Это подписка НА РАЗРАБОТКУ, а не двигатель ассистента на сайте: ассистент посетителей работает на модели Yandex AI Studio, и её расход — строка ниже. Одно другое не заменяет.</t>
  </si>
  <si>
    <t xml:space="preserve">Аренда офиса</t>
  </si>
  <si>
    <t xml:space="preserve">ВАШ СЧЁТ: 22 900 ₽ в год, то есть 1 908 ₽ в месяц.</t>
  </si>
  <si>
    <t xml:space="preserve">Ассистент — посчитано по нашему коду, а не на глаз</t>
  </si>
  <si>
    <t xml:space="preserve">Вопросов ассистенту в месяц на подписчика</t>
  </si>
  <si>
    <t xml:space="preserve">ВКЛЮЧЕНО В ТАРИФ — это и есть ограничение, о котором вы говорили. Число вопросов ограничивается продуктом, поэтому расход перестаёт быть открытым краном. 12 вопросов в месяц — это один вопрос в два-три рабочих дня.</t>
  </si>
  <si>
    <t xml:space="preserve">Стоимость одного вопроса, ₽</t>
  </si>
  <si>
    <t xml:space="preserve">ИЗМЕРЕНО 23 сентября 2026 на пяти настоящих вопросах через наш же код: в модель уходит в среднем 8 880 знаков (промпт 2 910 + до 12 карточек сделок), ответ до 700 токенов плюс 800 на размышление. При 0,3 ₽ за 1000 токенов выходит 1,3–1,8 ₽ за вопрос. В веб-режиме дороже — там ещё выдача поиска.</t>
  </si>
  <si>
    <t xml:space="preserve">Расходы, ₽ в месяц — мои прикидки, их надо заменить счетами</t>
  </si>
  <si>
    <t xml:space="preserve">API-ФНС (финансы компаний)</t>
  </si>
  <si>
    <t xml:space="preserve">Платный ключ куплен, годовая квота 3000 запросов. УТОЧНИТЬ фактическую стоимость.</t>
  </si>
  <si>
    <t xml:space="preserve">Онлайн-касса и чеки (54-ФЗ)</t>
  </si>
  <si>
    <t xml:space="preserve">ПОЯВЛЯЕТСЯ ИМЕННО ИЗ-ЗА B2C: приём денег от физлица требует фискального чека. Обычно чек выбивает платёжный сервис как агент — УТОЧНИТЬ это в договоре.</t>
  </si>
  <si>
    <t xml:space="preserve">Бухгалтерия на аутсорсе</t>
  </si>
  <si>
    <t xml:space="preserve">У ООО на АУСН учёт самый простой из возможных: налог считает налоговая по выписке банка, отчётности по взносам нет. Было 12 000 ₽ при АО на УСН. УТОЧНИТЬ.</t>
  </si>
  <si>
    <t xml:space="preserve">Юрист и патентный поверенный</t>
  </si>
  <si>
    <t xml:space="preserve">Товарный знак, оферта для физлиц, политика данных, согласия на рассылку. УТОЧНИТЬ.</t>
  </si>
  <si>
    <t xml:space="preserve">Платное продвижение</t>
  </si>
  <si>
    <t xml:space="preserve">Осознанно немного: платное привлечение при нынешней цене регистрации не окупается. Эти 30 тыс — на замер, а не на рост.</t>
  </si>
  <si>
    <t xml:space="preserve">Прочее (связь, сервисы, банк)</t>
  </si>
  <si>
    <t xml:space="preserve">УТОЧНИТЬ.</t>
  </si>
  <si>
    <t xml:space="preserve">Команда</t>
  </si>
  <si>
    <t xml:space="preserve">Зарплата гендиректора, ₽ в месяц</t>
  </si>
  <si>
    <t xml:space="preserve">ВАШЕ РЕШЕНИЕ: зарплату гендиректору не платим, а взносы за него платим. Ровно так модель и считает — ноль в этой клетке и полная строка взносов ниже. С 01.01.2026 взносы начисляются от МРОТ, даже когда выплат нет вовсе, поэтому отказ от зарплаты больше ничего не экономит — см. лист «Налоги и риски».</t>
  </si>
  <si>
    <t xml:space="preserve">Остальная команда (подряд, ₽ в месяц)</t>
  </si>
  <si>
    <t xml:space="preserve">Самозанятые и ИП по договорам: взносов нет, но нужен акт и чек по каждой выплате.</t>
  </si>
  <si>
    <t xml:space="preserve">Месяцев в начале вообще без разработчика</t>
  </si>
  <si>
    <t xml:space="preserve">ВАШЕ РЕШЕНИЕ. Первый квартал обходимся своими силами.</t>
  </si>
  <si>
    <t xml:space="preserve">Разработчик на аутсорсе, ₽ в месяц (первый этап)</t>
  </si>
  <si>
    <t xml:space="preserve">ВАШЕ РЕШЕНИЕ: девять месяцев по 50 тыс ₽. Взносов нет — это подряд с самозанятым или ИП, а не трудовой договор. Чем это может обернуться, если налоговая посмотрит иначе, — на листе «Налоги и риски».</t>
  </si>
  <si>
    <t xml:space="preserve">По какой месяц включительно платим первую ставку</t>
  </si>
  <si>
    <t xml:space="preserve">ВАШЕ РЕШЕНИЕ: месяцы с 4-го по 12-й, то есть девять месяцев.</t>
  </si>
  <si>
    <t xml:space="preserve">Разработчик на аутсорсе, ₽ в месяц (второй этап)</t>
  </si>
  <si>
    <t xml:space="preserve">ВАШЕ РЕШЕНИЕ: с 13-го месяца и дальше. Тоже на аутсорсе, тоже без взносов.</t>
  </si>
  <si>
    <t xml:space="preserve">Налоги и обязательные платежи (проверено 23.09.2026)</t>
  </si>
  <si>
    <t xml:space="preserve">Ставка АУСН «доходы минус расходы»</t>
  </si>
  <si>
    <t xml:space="preserve">На обычной УСН было бы 15%. Плата за нулевые взносы.</t>
  </si>
  <si>
    <t xml:space="preserve">Минимальный налог, % от доходов ЗА МЕСЯЦ</t>
  </si>
  <si>
    <t xml:space="preserve">Главное отличие от УСН: там минимум 1% и считается по итогам ГОДА, здесь 3% и ПОМЕСЯЧНО — убыточный месяц нельзя перекрыть прибыльным.</t>
  </si>
  <si>
    <t xml:space="preserve">Порог НДС, ₽ в год</t>
  </si>
  <si>
    <t xml:space="preserve">На АУСН НДС не платится вовсе в пределах самого режима (60 млн ₽ дохода). На обычной УСН освобождение кончилось бы на 20 млн ₽. Ещё один довод за АУСН, который проявится, только если пойдут продажи компаниям.</t>
  </si>
  <si>
    <t xml:space="preserve">Ставка НДС после порога</t>
  </si>
  <si>
    <t xml:space="preserve">Не достигается ни в одном сценарии: за пределом 60 млн ₽ мы уже не на АУСН.</t>
  </si>
  <si>
    <t xml:space="preserve">Взнос на травматизм, ₽ в год</t>
  </si>
  <si>
    <t xml:space="preserve">Единственный обязательный взнос на АУСН: фиксированная сумма на организацию, 246,58 ₽ в месяц, платится до 15-го числа независимо от выплат.</t>
  </si>
  <si>
    <t xml:space="preserve">Справочно: МРОТ, ₽ в месяц</t>
  </si>
  <si>
    <t xml:space="preserve">ФЗ от 28.11.2025 № 429-ФЗ. В расчёте НЕ участвует — на АУСН тариф взносов 0%. Оставлено, чтобы было видно, от чего мы уходим.</t>
  </si>
  <si>
    <t xml:space="preserve">Справочно: тариф взносов вне АУСН</t>
  </si>
  <si>
    <t xml:space="preserve">На обычной УСН это дало бы 8 128 ₽ в месяц за гендиректора даже без зарплаты.</t>
  </si>
  <si>
    <t xml:space="preserve">Комиссия за приём платежей</t>
  </si>
  <si>
    <t xml:space="preserve">Карты физлиц: 2,5–3,5%. СБП дешевле в разы (0,4–0,7%) — бесплатная правка.</t>
  </si>
  <si>
    <t xml:space="preserve">Доля годовых подписок, по которым просят возврат</t>
  </si>
  <si>
    <t xml:space="preserve">СТРОКА ПЕРЕСЧИТАНА 23 сентября. Раньше здесь стояли «2% всей выручки», и это было неверно по устройству: с помесячной подписки возвращать нечего — месяц уже использован, отказ означает просто непродление. Возврат возможен только с ГОДОВОЙ подписки, оплаченной вперёд, и только за неиспользованный остаток (ст. 32 закона о защите прав потребителей). Считаем: доля отказов × половина срока.</t>
  </si>
  <si>
    <t xml:space="preserve">Стартовые условия</t>
  </si>
  <si>
    <t xml:space="preserve">Деньги на старте, ₽</t>
  </si>
  <si>
    <t xml:space="preserve">УТОЧНИТЬ. От этого числа зависит, в каком месяце кончаются деньги.</t>
  </si>
  <si>
    <t xml:space="preserve">Платящих подписчиков на старте</t>
  </si>
  <si>
    <t xml:space="preserve">Платного доступа сейчас нет ни у кого: 16 аккаунтов — закрытый тест по заявке.</t>
  </si>
  <si>
    <t xml:space="preserve">Что в модели НЕ учтено — и это сказано нарочно</t>
  </si>
  <si>
    <t xml:space="preserve">Продажа компаниям. Вы решили начинать с физлиц; лицензия на отдел даёт чек в разы выше, но это другой цикл сделки и другой продавец. Это запас, а не план.</t>
  </si>
  <si>
    <t xml:space="preserve">Гранты и субсидии для ИТ. Аккредитация Минцифры требует не менее 7 человек в штате.</t>
  </si>
  <si>
    <t xml:space="preserve">Реклама и партнёрства: на аудитории меньше тысячи человек это не деньги, а отвлечение.</t>
  </si>
  <si>
    <t xml:space="preserve">Разовые продажи обзоров и выгрузок. Деньги приходят раньше подписки, но выручка неровная и продавать их некому, пока нет аудитории.</t>
  </si>
  <si>
    <t xml:space="preserve">Расчёт по месяцам — подписка 790 ₽ в месяц</t>
  </si>
  <si>
    <t xml:space="preserve">Каждая клетка — формула от листа «Допущения», колонка B. Меняете там — меняется здесь.</t>
  </si>
  <si>
    <t xml:space="preserve">Месяц</t>
  </si>
  <si>
    <t xml:space="preserve">окт 2026</t>
  </si>
  <si>
    <t xml:space="preserve">ноя 2026</t>
  </si>
  <si>
    <t xml:space="preserve">дек 2026</t>
  </si>
  <si>
    <t xml:space="preserve">янв 2027</t>
  </si>
  <si>
    <t xml:space="preserve">фев 2027</t>
  </si>
  <si>
    <t xml:space="preserve">мар 2027</t>
  </si>
  <si>
    <t xml:space="preserve">апр 2027</t>
  </si>
  <si>
    <t xml:space="preserve">май 2027</t>
  </si>
  <si>
    <t xml:space="preserve">июн 2027</t>
  </si>
  <si>
    <t xml:space="preserve">июл 2027</t>
  </si>
  <si>
    <t xml:space="preserve">авг 2027</t>
  </si>
  <si>
    <t xml:space="preserve">сен 2027</t>
  </si>
  <si>
    <t xml:space="preserve">окт 2027</t>
  </si>
  <si>
    <t xml:space="preserve">ноя 2027</t>
  </si>
  <si>
    <t xml:space="preserve">дек 2027</t>
  </si>
  <si>
    <t xml:space="preserve">янв 2028</t>
  </si>
  <si>
    <t xml:space="preserve">фев 2028</t>
  </si>
  <si>
    <t xml:space="preserve">мар 2028</t>
  </si>
  <si>
    <t xml:space="preserve">апр 2028</t>
  </si>
  <si>
    <t xml:space="preserve">май 2028</t>
  </si>
  <si>
    <t xml:space="preserve">июн 2028</t>
  </si>
  <si>
    <t xml:space="preserve">июл 2028</t>
  </si>
  <si>
    <t xml:space="preserve">авг 2028</t>
  </si>
  <si>
    <t xml:space="preserve">сен 2028</t>
  </si>
  <si>
    <t xml:space="preserve">Зарегистрировано всего (накопленно)</t>
  </si>
  <si>
    <t xml:space="preserve">  из них органических за месяц</t>
  </si>
  <si>
    <t xml:space="preserve">  из них из платного продвижения</t>
  </si>
  <si>
    <t xml:space="preserve">Бюджет продвижения, делённый на стоимость одной регистрации. Вот здесь деньги превращаются в людей — и здесь же видно, во сколько это обходится.</t>
  </si>
  <si>
    <t xml:space="preserve">Регистраций за месяц</t>
  </si>
  <si>
    <t xml:space="preserve">Рост гасится по мере заполнения рынка: множитель «сколько ещё осталось незарегистрированных» из потолка. Без него экспонента обещает рост, которому неоткуда взяться.</t>
  </si>
  <si>
    <t xml:space="preserve">Новых платящих за месяц</t>
  </si>
  <si>
    <t xml:space="preserve">Регистрация превращается в оплату не сразу: воронка с задержкой из допущений.</t>
  </si>
  <si>
    <t xml:space="preserve">Платящих всего на конец месяца</t>
  </si>
  <si>
    <t xml:space="preserve">Годовые подписки не отваливаются помесячно — доля годовых растёт линейно и гасит отток.</t>
  </si>
  <si>
    <t xml:space="preserve">Выручка</t>
  </si>
  <si>
    <t xml:space="preserve">Выручка за месяц</t>
  </si>
  <si>
    <t xml:space="preserve">Годовая подписка признаётся равномерно (1/12 в месяц) — так честнее для P&amp;L. Деньгами она приходит сразу, это видно в строке ниже.</t>
  </si>
  <si>
    <t xml:space="preserve">  продано годовых подписок, ₽</t>
  </si>
  <si>
    <t xml:space="preserve">Деньги, полученные за год вперёд. Только с них возможен возврат.</t>
  </si>
  <si>
    <t xml:space="preserve">Поступило денег за месяц</t>
  </si>
  <si>
    <t xml:space="preserve">Годовые подписчики платят за год вперёд: в месяц продажи приходит вся сумма.</t>
  </si>
  <si>
    <t xml:space="preserve">Расходы</t>
  </si>
  <si>
    <t xml:space="preserve">Yandex.Cloud</t>
  </si>
  <si>
    <t xml:space="preserve">Постоянный счёт облака плюс вопросы ассистенту: число подписчиков × включённых вопросов × цена вопроса. Ограничение вопросов в тарифе и держит эту строку от роста.</t>
  </si>
  <si>
    <t xml:space="preserve">API-ФНС</t>
  </si>
  <si>
    <t xml:space="preserve">Статья, которой не было бы при продаже компаниям по счёту.</t>
  </si>
  <si>
    <t xml:space="preserve">Бухгалтерия</t>
  </si>
  <si>
    <t xml:space="preserve">Юрист и товарный знак</t>
  </si>
  <si>
    <t xml:space="preserve">Прочее</t>
  </si>
  <si>
    <t xml:space="preserve">Возвраты по годовым подпискам</t>
  </si>
  <si>
    <t xml:space="preserve">Отказаться можно в любой момент (ст. 32 закона о защите прав потребителей), но вернуть — только неиспользованный остаток. В среднем это половина срока, поэтому доля отказов делится на два. С помесячной подписки возврата нет вовсе: месяц уже использован.</t>
  </si>
  <si>
    <t xml:space="preserve">Зарплата гендиректора</t>
  </si>
  <si>
    <t xml:space="preserve">Команда на подряде</t>
  </si>
  <si>
    <t xml:space="preserve">Разработчик на аутсорсе</t>
  </si>
  <si>
    <t xml:space="preserve">Лесенка вместо одной ставки: первый квартал без разработчика, затем девять месяцев по первой ставке, с 13-го месяца — по второй. Взносов нет: это подряд, а не трудовой договор.</t>
  </si>
  <si>
    <t xml:space="preserve">Взнос на травматизм (АУСН)</t>
  </si>
  <si>
    <t xml:space="preserve">На АУСН тариф страховых взносов 0%, поэтому правило «база от МРОТ» даёт ноль: 27 093 × 0% = 0. Остаётся фиксированный взнос на травматизм — 2 959 ₽ в год. Вне АУСН на этой строке стояло бы 8 128 ₽ в МЕСЯЦ.</t>
  </si>
  <si>
    <t xml:space="preserve">Расходы всего</t>
  </si>
  <si>
    <t xml:space="preserve">Налоги</t>
  </si>
  <si>
    <t xml:space="preserve">Доход накопленным итогом за год</t>
  </si>
  <si>
    <t xml:space="preserve">Год считается календарный: старт в октябре, поэтому первый календарный год у нас три месяца, а полный год начинается с января.</t>
  </si>
  <si>
    <t xml:space="preserve">НДС</t>
  </si>
  <si>
    <t xml:space="preserve">На АУСН НДС нет вовсе в пределах режима (60 млн ₽). Строка оставлена как забор: если она ожила — значит, мы вышли за АУСН и считать надо заново.</t>
  </si>
  <si>
    <t xml:space="preserve">База АУСН (доходы минус расходы)</t>
  </si>
  <si>
    <t xml:space="preserve">Налог АУСН</t>
  </si>
  <si>
    <t xml:space="preserve">Большее из двух: 20% с разницы или 3% с дохода ЗА ЭТОТ МЕСЯЦ. На АУСН минимум считается помесячно, поэтому убыточный месяц нельзя перекрыть прибыльным — в отличие от УСН, где минимум 1% и считается за год.</t>
  </si>
  <si>
    <t xml:space="preserve">Налоги всего</t>
  </si>
  <si>
    <t xml:space="preserve">Итог</t>
  </si>
  <si>
    <t xml:space="preserve">Прибыль до налогов</t>
  </si>
  <si>
    <t xml:space="preserve">Чистая прибыль</t>
  </si>
  <si>
    <t xml:space="preserve">Денежный поток за месяц</t>
  </si>
  <si>
    <t xml:space="preserve">Деньги на конец месяца</t>
  </si>
  <si>
    <t xml:space="preserve">Месяц, в котором это число уходит в минус, — тот, до которого нужны деньги.</t>
  </si>
  <si>
    <t xml:space="preserve">Расчёт по месяцам — подписка 990 ₽ в месяц</t>
  </si>
  <si>
    <t xml:space="preserve">Каждая клетка — формула от листа «Допущения», колонка C. Меняете там — меняется здесь.</t>
  </si>
  <si>
    <t xml:space="preserve">Расчёт по месяцам — подписка 1490 ₽ в месяц</t>
  </si>
  <si>
    <t xml:space="preserve">Каждая клетка — формула от листа «Допущения», колонка D. Меняете там — меняется здесь.</t>
  </si>
  <si>
    <t xml:space="preserve">Налоги и риски: что проверено и что изменилось</t>
  </si>
  <si>
    <t xml:space="preserve">Числа взяты из колонки «990 ₽» — ставки во всех трёх сценариях одинаковые.</t>
  </si>
  <si>
    <t xml:space="preserve">ГЛАВНОЕ: на АУСН взносов за гендиректора нет — и вот чем за это плачено</t>
  </si>
  <si>
    <t xml:space="preserve">ФЗ от 28.11.2025 № 425-ФЗ изменил п. 1 ст. 421 НК РФ: с 01.01.2026, если руководителю коммерческой организации начислено за месяц меньше МРОТ или не начислено вовсе, база для взносов всё равно считается равной МРОТ. Наличие трудового договора норма не спрашивает. Вне АУСН это 27 093 × 30% = 8 128 ₽ в месяц, 97 535 ₽ в год.</t>
  </si>
  <si>
    <t xml:space="preserve">На АУСН это правило ПРИМЕНЯЕТСЯ — база так же считается от МРОТ, и ФНС это отдельно подтвердила. Но единый пониженный тариф страховых взносов на АУСН равен 0%, и база умножается на ноль. Остаётся фиксированный взнос на травматизм 2 959 ₽ в год.</t>
  </si>
  <si>
    <t xml:space="preserve">Плата за это — ставка налога: 20% с «доходы минус расходы» вместо 15% на УСН, и минимальный налог 3% от дохода вместо 1%, причём на АУСН он считается ПОМЕСЯЧНО, а на УСН — по итогам года.</t>
  </si>
  <si>
    <t xml:space="preserve">Где граница выгоды (посчитано, а не на глаз): пока мы в убытке и платим минимальный налог, АУСН выгоднее обычной УСН при выручке до 4,73 млн ₽ в год. Когда выйдем в прибыль — при прибыли до 1,89 млн ₽ в год. Выше этих чисел выгоднее вернуться на УСН.</t>
  </si>
  <si>
    <t xml:space="preserve">Что даёт АУСН сверх этого: НДС не платится вовсе в пределах режима (60 млн ₽), тогда как на УСН освобождение кончается на 20 млн ₽.</t>
  </si>
  <si>
    <t xml:space="preserve">Чем приходится соответствовать, чтобы остаться на АУСН</t>
  </si>
  <si>
    <t xml:space="preserve">доход до 60 млн ₽ в год и не более 5 человек в средней численности — ПРОВЕРИТЬ С БУХГАЛТЕРОМ, попадают ли туда исполнители по договорам подряда, в том числе наш разработчик на аутсорсе;</t>
  </si>
  <si>
    <t xml:space="preserve">счета только в уполномоченных банках, зарплата только безналом, нельзя совмещать режимы, участник-юрлицо не более 25%;</t>
  </si>
  <si>
    <t xml:space="preserve">переход РАДИ обнуления взносов налоговая может счесть необоснованной налоговой выгодой — деловую причину стоит записать заранее, а не придумывать на проверке;</t>
  </si>
  <si>
    <t xml:space="preserve">банковский контроль по 115-ФЗ: руководитель без зарплаты при живой выручке — типовой признак для вопросов банка вплоть до ограничений по счёту;</t>
  </si>
  <si>
    <t xml:space="preserve">пенсионные права руководителя начисляются за счёт федерального бюджета, но только если сдаются кадровые отчёты — если стаж важен, это надо проверить.</t>
  </si>
  <si>
    <t xml:space="preserve">Что дало ООО вместо АО</t>
  </si>
  <si>
    <t xml:space="preserve">Проверено по источникам 23 сентября: у небольшого непубличного АО НЕТ ни обязательного аудита (порог — доход 800 млн ₽ и активы 400 млн ₽), ни обязанности раскрывать отчётность в интернете при менее чем 50 акционерах. То есть вся разница — лицензированный регистратор (9 000 ₽ в квартал) и более дорогой учёт. Около 96 тыс ₽ в год, и обе строки из модели убраны.</t>
  </si>
  <si>
    <t xml:space="preserve">Разработчик на аутсорсе: где здесь риск</t>
  </si>
  <si>
    <t xml:space="preserve">Вы решили платить разработчику по договору подряда — самозанятому или ИП, без страховых взносов. Это законно и обычно. Но именно у этой схемы есть признаки, по которым налоговая переквалифицирует отношения в трудовые, и два из них у нас будут:</t>
  </si>
  <si>
    <t xml:space="preserve">Одинаковая сумма каждый месяц подряд много месяцев — это выглядит как оклад, а не как оплата за результат.</t>
  </si>
  <si>
    <t xml:space="preserve">Единственный заказчик у исполнителя. Если мы для него один источник дохода, довод «это самостоятельная деятельность» слабеет.</t>
  </si>
  <si>
    <t xml:space="preserve">Что снимает риск: договор на конкретный результат, а не на «выполнение работ»; акт по каждой сдаче с перечнем сделанного; разные суммы; отсутствие графика, рабочего места и подчинения. Чек от самозанятого — обязателен на каждую выплату.</t>
  </si>
  <si>
    <t xml:space="preserve">Если исполнитель — самозанятый и он же был нашим работником в последние два года, его доход НЕЛЬЗЯ облагать налогом на профессиональный доход: закон это прямо запрещает, и взносы придётся платить в любом случае.</t>
  </si>
  <si>
    <t xml:space="preserve">Во что обойдётся переквалификация за два года</t>
  </si>
  <si>
    <t xml:space="preserve">Значение</t>
  </si>
  <si>
    <t xml:space="preserve">Как считается</t>
  </si>
  <si>
    <t xml:space="preserve">Выплачено разработчику за 24 месяца</t>
  </si>
  <si>
    <t xml:space="preserve">Девять месяцев по первой ставке плюс двенадцать по второй.</t>
  </si>
  <si>
    <t xml:space="preserve">Взносы, если отношения признают трудовыми</t>
  </si>
  <si>
    <t xml:space="preserve">30% на всю сумму выплат: переквалификация действует задним числом.</t>
  </si>
  <si>
    <t xml:space="preserve">Штраф 20% от неуплаченного</t>
  </si>
  <si>
    <t xml:space="preserve">П. 1 ст. 122 НК РФ.</t>
  </si>
  <si>
    <t xml:space="preserve">Итого к доплате при худшем исходе</t>
  </si>
  <si>
    <t xml:space="preserve">Плюс пени и плюс ответственность налогового агента по НДФЛ, если исполнитель окажется не самозанятым и не ИП. Это не довод против аутсорса — это довод за аккуратные договор и акты.</t>
  </si>
  <si>
    <t xml:space="preserve">Что добавляет продажа именно физическим лицам</t>
  </si>
  <si>
    <t xml:space="preserve">Фискальный чек на каждый платёж (54-ФЗ)</t>
  </si>
  <si>
    <t xml:space="preserve">Приём денег от физлица требует чека. Обычно его выбивает платёжный сервис как агент — ПРОВЕРИТЬ это прямо в договоре с провайдером. Если сервис чеки не выбивает, нужна облачная касса с фискальным накопителем: это 2–3 тыс ₽ в месяц и отдельная настройка. При продаже компаниям по счёту этой статьи не существует вовсе.</t>
  </si>
  <si>
    <t xml:space="preserve">Закон о защите прав потребителей сильнее нашей оферты</t>
  </si>
  <si>
    <t xml:space="preserve">Условия, ухудшающие положение потребителя по сравнению с законом, ничтожны — как бы аккуратно они ни были написаны в оферте. Человек вправе отказаться от подписки и вернуть деньги за неиспользованный период. В модели на это заложено 2% выручки; оферту должен смотреть юрист именно под физлиц, а не под компании.</t>
  </si>
  <si>
    <t xml:space="preserve">Персональные данные: физлиц много, и согласия нужны настоящие</t>
  </si>
  <si>
    <t xml:space="preserve">Регистрация человека — это обработка персональных данных: нужны уведомление Роскомнадзора, политика обработки и отдельное согласие на рекламную рассылку (просто галочки при регистрации мало). Штрафы за рассылку без согласия выписывают по жалобе одного человека.</t>
  </si>
  <si>
    <t xml:space="preserve">Маркировка интернет-рекламы</t>
  </si>
  <si>
    <t xml:space="preserve">Любой посев в канале или таргет — это реклама, которую нужно маркировать и отчитываться о ней оператору рекламных данных. Это не деньги, а обязанность и время; поручать её площадке нужно письменно, иначе отвечаем мы.</t>
  </si>
  <si>
    <t xml:space="preserve">Зато НДС далеко</t>
  </si>
  <si>
    <t xml:space="preserve">Порог освобождения — 20 млн ₽ дохода в год. При чеке 790–1490 ₽ в месяц это тысячи подписчиков, до которых нам ещё идти. В продаже компаниям порог упирался бы в пару сотен клиентов. Смотрите строку «сколько подписчиков — это 20 млн ₽» на листе единицы экономики.</t>
  </si>
  <si>
    <t xml:space="preserve">Остальные налоговые узлы</t>
  </si>
  <si>
    <t xml:space="preserve">Минимальный налог платится и при убытке — а на АУСН ещё и помесячно</t>
  </si>
  <si>
    <t xml:space="preserve">Платится большее из двух: 20% с разницы или 3% с дохода. Первые годы убыточны, значит платим 3% с выручки каждый месяц. Сальдировать убыточный месяц прибыльным на АУСН нельзя — это главное отличие от УСН, где минимум 1% и считается за год.</t>
  </si>
  <si>
    <t xml:space="preserve">Возврат денег физлицу: что можно, а что нельзя запретить офертой</t>
  </si>
  <si>
    <t xml:space="preserve">Ст. 32 закона о защите прав потребителей: человек вправе отказаться от услуги в любое время, оплатив только фактически понесённые расходы. Это право НЕ зависит от того, пользовался ли он сервисом, и офертой не отменяется. Но вернуть он может только неиспользованный остаток — с помесячной подписки возвращать нечего, отказ означает непродление. Поэтому возвраты в модели считаются ТОЛЬКО от годовых подписок. Оформление доступа лицензионным договором на базу данных обычно сужает возврат — это вопрос юристу, а не допущение модели.</t>
  </si>
  <si>
    <t xml:space="preserve">Аккредитация Минцифры нам сейчас недоступна</t>
  </si>
  <si>
    <t xml:space="preserve">Она даёт пониженные взносы, но требует не менее 7 человек в штате. Нас двое-трое.</t>
  </si>
  <si>
    <t xml:space="preserve">Товарный знак — это не формальность, а защита названия</t>
  </si>
  <si>
    <t xml:space="preserve">Пока знак не зарегистрирован, «Компас» может занять кто угодно, и придётся менять название вместе с доменом и накопленной узнаваемостью. Сроки — около года, поэтому подавать надо сейчас, а не когда появится спор.</t>
  </si>
  <si>
    <t xml:space="preserve">Источники, по которым проверены ставки (23 сентября 2026)</t>
  </si>
  <si>
    <t xml:space="preserve">— ФЗ от 25.02.2022 № 17-ФЗ — АУСН: ставки 8% и 20%, минимальный налог 3% за месяц, нулевой тариф взносов, лимиты 60 млн ₽ и 5 человек</t>
  </si>
  <si>
    <t xml:space="preserve">— ФЗ от 28.11.2025 № 425-ФЗ — база взносов от МРОТ за руководителя (п. 1 ст. 421 НК РФ)</t>
  </si>
  <si>
    <t xml:space="preserve">— ФЗ от 28.11.2025 № 429-ФЗ — МРОТ 27 093 ₽ (в расчёте не участвует: тариф 0%)</t>
  </si>
  <si>
    <t xml:space="preserve">— взнос на травматизм для АУСН на 2026 год — 2 959 ₽ в год</t>
  </si>
  <si>
    <t xml:space="preserve">— ст. 5 ФЗ № 307-ФЗ — обязательный аудит: у небольшого непубличного АО его нет</t>
  </si>
  <si>
    <t xml:space="preserve">— ст. 32 Закона РФ «О защите прав потребителей» — отказ от услуги и возврат</t>
  </si>
  <si>
    <t xml:space="preserve">— 54-ФЗ — контрольно-кассовая техника при расчётах с физлицами</t>
  </si>
  <si>
    <t xml:space="preserve">— Yandex AI Studio, официальная тарификация — 0,3 ₽ за 1000 токенов (gpt-oss-120b)</t>
  </si>
</sst>
</file>

<file path=xl/styles.xml><?xml version="1.0" encoding="utf-8"?>
<styleSheet xmlns="http://schemas.openxmlformats.org/spreadsheetml/2006/main">
  <numFmts count="5">
    <numFmt numFmtId="164" formatCode="General"/>
    <numFmt numFmtId="165" formatCode="#\ ##0&quot; ₽&quot;;[RED]\-#\ ##0&quot; ₽&quot;"/>
    <numFmt numFmtId="166" formatCode="0.00"/>
    <numFmt numFmtId="167" formatCode="#\ ##0;[RED]\-#\ ##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F5132"/>
      <name val="Calibri"/>
      <family val="0"/>
      <charset val="1"/>
    </font>
    <font>
      <sz val="9"/>
      <color rgb="FF6B6B6B"/>
      <name val="Calibri"/>
      <family val="0"/>
      <charset val="1"/>
    </font>
    <font>
      <b val="true"/>
      <sz val="11"/>
      <color rgb="FF1C2B25"/>
      <name val="Calibri"/>
      <family val="0"/>
      <charset val="1"/>
    </font>
    <font>
      <b val="true"/>
      <sz val="11"/>
      <name val="Calibri"/>
      <family val="0"/>
      <charset val="1"/>
    </font>
    <font>
      <sz val="11"/>
      <name val="Calibri"/>
      <family val="0"/>
      <charset val="1"/>
    </font>
    <font>
      <b val="true"/>
      <sz val="11"/>
      <color rgb="FF9C3B1B"/>
      <name val="Calibri"/>
      <family val="0"/>
      <charset val="1"/>
    </font>
    <font>
      <b val="true"/>
      <sz val="11"/>
      <color rgb="FF0F5132"/>
      <name val="Calibri"/>
      <family val="0"/>
      <charset val="1"/>
    </font>
  </fonts>
  <fills count="4">
    <fill>
      <patternFill patternType="none"/>
    </fill>
    <fill>
      <patternFill patternType="gray125"/>
    </fill>
    <fill>
      <patternFill patternType="solid">
        <fgColor rgb="FFE7EFEA"/>
        <bgColor rgb="FFFFF3CD"/>
      </patternFill>
    </fill>
    <fill>
      <patternFill patternType="solid">
        <fgColor rgb="FFFFF3CD"/>
        <bgColor rgb="FFE7EF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FEA"/>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F5132"/>
      <rgbColor rgb="FF333300"/>
      <rgbColor rgb="FF9C3B1B"/>
      <rgbColor rgb="FF993366"/>
      <rgbColor rgb="FF333399"/>
      <rgbColor rgb="FF1C2B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7"/>
    <col collapsed="false" customWidth="true" hidden="false" outlineLevel="0" max="5" min="5"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row>
    <row r="5" customFormat="false" ht="15" hidden="false" customHeight="false" outlineLevel="0" collapsed="false">
      <c r="A5" s="5" t="s">
        <v>3</v>
      </c>
      <c r="B5" s="5" t="s">
        <v>4</v>
      </c>
      <c r="C5" s="5" t="s">
        <v>5</v>
      </c>
      <c r="D5" s="5" t="s">
        <v>6</v>
      </c>
      <c r="E5" s="5" t="s">
        <v>7</v>
      </c>
    </row>
    <row r="6" customFormat="false" ht="30" hidden="false" customHeight="true" outlineLevel="0" collapsed="false">
      <c r="A6" s="6" t="s">
        <v>8</v>
      </c>
      <c r="B6" s="7" t="n">
        <f aca="false">'Единица экономики'!$B$10</f>
        <v>717.738333333333</v>
      </c>
      <c r="C6" s="7" t="n">
        <f aca="false">'Единица экономики'!$C$10</f>
        <v>900.64365</v>
      </c>
      <c r="D6" s="7" t="n">
        <f aca="false">'Единица экономики'!$D$10</f>
        <v>1339.4094</v>
      </c>
      <c r="E6" s="8" t="s">
        <v>9</v>
      </c>
    </row>
    <row r="7" customFormat="false" ht="30" hidden="false" customHeight="true" outlineLevel="0" collapsed="false">
      <c r="A7" s="6" t="s">
        <v>10</v>
      </c>
      <c r="B7" s="7" t="n">
        <f aca="false">'Единица экономики'!$B$14</f>
        <v>6524.89393939394</v>
      </c>
      <c r="C7" s="7" t="n">
        <f aca="false">'Единица экономики'!$C$14</f>
        <v>9006.4365</v>
      </c>
      <c r="D7" s="7" t="n">
        <f aca="false">'Единица экономики'!$D$14</f>
        <v>15757.7576470588</v>
      </c>
      <c r="E7" s="8" t="s">
        <v>11</v>
      </c>
    </row>
    <row r="8" customFormat="false" ht="30" hidden="false" customHeight="true" outlineLevel="0" collapsed="false">
      <c r="A8" s="6" t="s">
        <v>12</v>
      </c>
      <c r="B8" s="7" t="n">
        <f aca="false">'Единица экономики'!$B$15</f>
        <v>8888.88888888889</v>
      </c>
      <c r="C8" s="7" t="n">
        <f aca="false">'Единица экономики'!$C$15</f>
        <v>11428.5714285714</v>
      </c>
      <c r="D8" s="7" t="n">
        <f aca="false">'Единица экономики'!$D$15</f>
        <v>20000</v>
      </c>
      <c r="E8" s="8" t="s">
        <v>13</v>
      </c>
    </row>
    <row r="9" customFormat="false" ht="30" hidden="false" customHeight="true" outlineLevel="0" collapsed="false">
      <c r="A9" s="6" t="s">
        <v>14</v>
      </c>
      <c r="B9" s="9" t="n">
        <f aca="false">'Единица экономики'!$B$16</f>
        <v>0.734050568181818</v>
      </c>
      <c r="C9" s="9" t="n">
        <f aca="false">'Единица экономики'!$C$16</f>
        <v>0.78806319375</v>
      </c>
      <c r="D9" s="9" t="n">
        <f aca="false">'Единица экономики'!$D$16</f>
        <v>0.787887882352941</v>
      </c>
      <c r="E9" s="8" t="s">
        <v>15</v>
      </c>
    </row>
    <row r="10" customFormat="false" ht="30" hidden="false" customHeight="true" outlineLevel="0" collapsed="false">
      <c r="A10" s="6" t="s">
        <v>16</v>
      </c>
      <c r="B10" s="10" t="n">
        <f aca="false">'Единица экономики'!$B$22</f>
        <v>140</v>
      </c>
      <c r="C10" s="10" t="n">
        <f aca="false">'Единица экономики'!$C$22</f>
        <v>111</v>
      </c>
      <c r="D10" s="10" t="n">
        <f aca="false">'Единица экономики'!$D$22</f>
        <v>75</v>
      </c>
      <c r="E10" s="8" t="s">
        <v>17</v>
      </c>
    </row>
    <row r="11" customFormat="false" ht="30" hidden="false" customHeight="true" outlineLevel="0" collapsed="false">
      <c r="A11" s="6" t="s">
        <v>18</v>
      </c>
      <c r="B11" s="11" t="n">
        <f aca="false">'Единица экономики'!$B$23</f>
        <v>209</v>
      </c>
      <c r="C11" s="11" t="n">
        <f aca="false">'Единица экономики'!$C$23</f>
        <v>167</v>
      </c>
      <c r="D11" s="11" t="n">
        <f aca="false">'Единица экономики'!$D$23</f>
        <v>112</v>
      </c>
      <c r="E11" s="8" t="s">
        <v>19</v>
      </c>
    </row>
    <row r="12" customFormat="false" ht="30" hidden="false" customHeight="true" outlineLevel="0" collapsed="false">
      <c r="A12" s="6" t="s">
        <v>20</v>
      </c>
      <c r="B12" s="12" t="n">
        <f aca="false">'Единица экономики'!$B$24</f>
        <v>279</v>
      </c>
      <c r="C12" s="12" t="n">
        <f aca="false">'Единица экономики'!$C$24</f>
        <v>223</v>
      </c>
      <c r="D12" s="12" t="n">
        <f aca="false">'Единица экономики'!$D$24</f>
        <v>150</v>
      </c>
      <c r="E12" s="8" t="s">
        <v>21</v>
      </c>
    </row>
    <row r="14" customFormat="false" ht="15" hidden="false" customHeight="false" outlineLevel="0" collapsed="false">
      <c r="A14" s="3" t="s">
        <v>22</v>
      </c>
      <c r="B14" s="4"/>
      <c r="C14" s="4"/>
      <c r="D14" s="4"/>
      <c r="E14" s="4"/>
    </row>
    <row r="15" customFormat="false" ht="15" hidden="false" customHeight="false" outlineLevel="0" collapsed="false">
      <c r="A15" s="5" t="s">
        <v>3</v>
      </c>
      <c r="B15" s="5" t="s">
        <v>4</v>
      </c>
      <c r="C15" s="5" t="s">
        <v>5</v>
      </c>
      <c r="D15" s="5" t="s">
        <v>6</v>
      </c>
      <c r="E15" s="5" t="s">
        <v>7</v>
      </c>
    </row>
    <row r="16" customFormat="false" ht="30" hidden="false" customHeight="true" outlineLevel="0" collapsed="false">
      <c r="A16" s="6" t="s">
        <v>23</v>
      </c>
      <c r="B16" s="13" t="n">
        <f aca="false">'Расчёт 790 ₽'!M10</f>
        <v>46.1309036081054</v>
      </c>
      <c r="C16" s="13" t="n">
        <f aca="false">'Расчёт 990 ₽'!M10</f>
        <v>37.7023908656443</v>
      </c>
      <c r="D16" s="13" t="n">
        <f aca="false">'Расчёт 1490 ₽'!M10</f>
        <v>21.0750453292387</v>
      </c>
      <c r="E16" s="8"/>
    </row>
    <row r="17" customFormat="false" ht="30" hidden="false" customHeight="true" outlineLevel="0" collapsed="false">
      <c r="A17" s="6" t="s">
        <v>24</v>
      </c>
      <c r="B17" s="13" t="n">
        <f aca="false">'Расчёт 790 ₽'!Y10</f>
        <v>117.915964062739</v>
      </c>
      <c r="C17" s="13" t="n">
        <f aca="false">'Расчёт 990 ₽'!Y10</f>
        <v>96.0198424695259</v>
      </c>
      <c r="D17" s="13" t="n">
        <f aca="false">'Расчёт 1490 ₽'!Y10</f>
        <v>55.8816059370177</v>
      </c>
      <c r="E17" s="8" t="s">
        <v>25</v>
      </c>
    </row>
    <row r="18" customFormat="false" ht="30" hidden="false" customHeight="true" outlineLevel="0" collapsed="false">
      <c r="A18" s="6" t="s">
        <v>26</v>
      </c>
      <c r="B18" s="11" t="n">
        <f aca="false">SUM('Расчёт 790 ₽'!B8:Y8)</f>
        <v>2933</v>
      </c>
      <c r="C18" s="11" t="n">
        <f aca="false">SUM('Расчёт 990 ₽'!B8:Y8)</f>
        <v>2933</v>
      </c>
      <c r="D18" s="11" t="n">
        <f aca="false">SUM('Расчёт 1490 ₽'!B8:Y8)</f>
        <v>2536</v>
      </c>
      <c r="E18" s="8" t="s">
        <v>27</v>
      </c>
    </row>
    <row r="19" customFormat="false" ht="30" hidden="false" customHeight="true" outlineLevel="0" collapsed="false">
      <c r="A19" s="6" t="s">
        <v>28</v>
      </c>
      <c r="B19" s="7" t="n">
        <f aca="false">SUM('Расчёт 790 ₽'!B12:M12)</f>
        <v>210426.287412036</v>
      </c>
      <c r="C19" s="7" t="n">
        <f aca="false">SUM('Расчёт 990 ₽'!B12:M12)</f>
        <v>209304.751139991</v>
      </c>
      <c r="D19" s="7" t="n">
        <f aca="false">SUM('Расчёт 1490 ₽'!B12:M12)</f>
        <v>163547.495203067</v>
      </c>
      <c r="E19" s="8"/>
    </row>
    <row r="20" customFormat="false" ht="30" hidden="false" customHeight="true" outlineLevel="0" collapsed="false">
      <c r="A20" s="6" t="s">
        <v>29</v>
      </c>
      <c r="B20" s="14" t="n">
        <f aca="false">SUM('Расчёт 790 ₽'!B12:Y12)</f>
        <v>953607.092378121</v>
      </c>
      <c r="C20" s="14" t="n">
        <f aca="false">SUM('Расчёт 990 ₽'!B12:Y12)</f>
        <v>967790.306675303</v>
      </c>
      <c r="D20" s="14" t="n">
        <f aca="false">SUM('Расчёт 1490 ₽'!B12:Y12)</f>
        <v>820681.37026095</v>
      </c>
      <c r="E20" s="8"/>
    </row>
    <row r="21" customFormat="false" ht="30" hidden="false" customHeight="true" outlineLevel="0" collapsed="false">
      <c r="A21" s="6" t="s">
        <v>30</v>
      </c>
      <c r="B21" s="7" t="n">
        <f aca="false">SUM('Расчёт 790 ₽'!B32:Y32)</f>
        <v>4112647.60148615</v>
      </c>
      <c r="C21" s="7" t="n">
        <f aca="false">SUM('Расчёт 990 ₽'!B32:Y32)</f>
        <v>4109313.2457211</v>
      </c>
      <c r="D21" s="7" t="n">
        <f aca="false">SUM('Расчёт 1490 ₽'!B32:Y32)</f>
        <v>4102029.31845104</v>
      </c>
      <c r="E21" s="8"/>
    </row>
    <row r="22" customFormat="false" ht="30" hidden="false" customHeight="true" outlineLevel="0" collapsed="false">
      <c r="A22" s="6" t="s">
        <v>31</v>
      </c>
      <c r="B22" s="7" t="n">
        <f aca="false">SUM('Расчёт 790 ₽'!B38:Y38)</f>
        <v>28608.2127713436</v>
      </c>
      <c r="C22" s="7" t="n">
        <f aca="false">SUM('Расчёт 990 ₽'!B38:Y38)</f>
        <v>29033.7092002591</v>
      </c>
      <c r="D22" s="7" t="n">
        <f aca="false">SUM('Расчёт 1490 ₽'!B38:Y38)</f>
        <v>24620.4411078285</v>
      </c>
      <c r="E22" s="8" t="s">
        <v>32</v>
      </c>
    </row>
    <row r="23" customFormat="false" ht="30" hidden="false" customHeight="true" outlineLevel="0" collapsed="false">
      <c r="A23" s="6" t="s">
        <v>33</v>
      </c>
      <c r="B23" s="7" t="n">
        <f aca="false">SUM('Расчёт 790 ₽'!B31:Y31)</f>
        <v>5918</v>
      </c>
      <c r="C23" s="7" t="n">
        <f aca="false">SUM('Расчёт 990 ₽'!B31:Y31)</f>
        <v>5918</v>
      </c>
      <c r="D23" s="7" t="n">
        <f aca="false">SUM('Расчёт 1490 ₽'!B31:Y31)</f>
        <v>5918</v>
      </c>
      <c r="E23" s="8" t="s">
        <v>34</v>
      </c>
    </row>
    <row r="24" customFormat="false" ht="30" hidden="false" customHeight="true" outlineLevel="0" collapsed="false">
      <c r="A24" s="6" t="s">
        <v>35</v>
      </c>
      <c r="B24" s="14" t="n">
        <f aca="false">SUM('Расчёт 790 ₽'!B41:Y41)</f>
        <v>-3187648.72187937</v>
      </c>
      <c r="C24" s="14" t="n">
        <f aca="false">SUM('Расчёт 990 ₽'!B41:Y41)</f>
        <v>-3170556.64824606</v>
      </c>
      <c r="D24" s="14" t="n">
        <f aca="false">SUM('Расчёт 1490 ₽'!B41:Y41)</f>
        <v>-3305968.38929792</v>
      </c>
      <c r="E24" s="8"/>
    </row>
    <row r="25" customFormat="false" ht="30" hidden="false" customHeight="true" outlineLevel="0" collapsed="false">
      <c r="A25" s="6" t="s">
        <v>36</v>
      </c>
      <c r="B25" s="14" t="n">
        <f aca="false">'Расчёт 790 ₽'!Y43</f>
        <v>-2488201.15243493</v>
      </c>
      <c r="C25" s="14" t="n">
        <f aca="false">'Расчёт 990 ₽'!Y43</f>
        <v>-2458844.46074606</v>
      </c>
      <c r="D25" s="14" t="n">
        <f aca="false">'Расчёт 1490 ₽'!Y43</f>
        <v>-2591487.02818681</v>
      </c>
      <c r="E25" s="8" t="s">
        <v>37</v>
      </c>
    </row>
    <row r="27" customFormat="false" ht="15" hidden="false" customHeight="false" outlineLevel="0" collapsed="false">
      <c r="A27" s="3" t="s">
        <v>38</v>
      </c>
      <c r="B27" s="4"/>
      <c r="C27" s="4"/>
      <c r="D27" s="4"/>
      <c r="E27" s="4"/>
    </row>
    <row r="28" customFormat="false" ht="15" hidden="false" customHeight="false" outlineLevel="0" collapsed="false">
      <c r="A28" s="5" t="s">
        <v>3</v>
      </c>
      <c r="B28" s="5" t="s">
        <v>4</v>
      </c>
      <c r="C28" s="5" t="s">
        <v>5</v>
      </c>
      <c r="D28" s="5" t="s">
        <v>6</v>
      </c>
      <c r="E28" s="5" t="s">
        <v>7</v>
      </c>
    </row>
    <row r="29" customFormat="false" ht="30" hidden="false" customHeight="true" outlineLevel="0" collapsed="false">
      <c r="A29" s="6" t="s">
        <v>39</v>
      </c>
      <c r="B29" s="13" t="str">
        <f aca="false">IFERROR(MATCH(TRUE(),INDEX('Расчёт 790 ₽'!B41:Y41&gt;0,0),0),"за 24 месяца не выходим")</f>
        <v>за 24 месяца не выходим</v>
      </c>
      <c r="C29" s="13" t="str">
        <f aca="false">IFERROR(MATCH(TRUE(),INDEX('Расчёт 990 ₽'!B41:Y41&gt;0,0),0),"за 24 месяца не выходим")</f>
        <v>за 24 месяца не выходим</v>
      </c>
      <c r="D29" s="13" t="str">
        <f aca="false">IFERROR(MATCH(TRUE(),INDEX('Расчёт 1490 ₽'!B41:Y41&gt;0,0),0),"за 24 месяца не выходим")</f>
        <v>за 24 месяца не выходим</v>
      </c>
      <c r="E29" s="8" t="s">
        <v>40</v>
      </c>
    </row>
    <row r="30" customFormat="false" ht="30" hidden="false" customHeight="true" outlineLevel="0" collapsed="false">
      <c r="A30" s="6" t="s">
        <v>41</v>
      </c>
      <c r="B30" s="12" t="n">
        <f aca="false">IFERROR(MATCH(TRUE(),INDEX('Расчёт 790 ₽'!B43:Y43&lt;0,0),0),"не уходят")</f>
        <v>5</v>
      </c>
      <c r="C30" s="12" t="n">
        <f aca="false">IFERROR(MATCH(TRUE(),INDEX('Расчёт 990 ₽'!B43:Y43&lt;0,0),0),"не уходят")</f>
        <v>5</v>
      </c>
      <c r="D30" s="12" t="n">
        <f aca="false">IFERROR(MATCH(TRUE(),INDEX('Расчёт 1490 ₽'!B43:Y43&lt;0,0),0),"не уходят")</f>
        <v>5</v>
      </c>
      <c r="E30" s="8" t="s">
        <v>42</v>
      </c>
    </row>
    <row r="31" customFormat="false" ht="30" hidden="false" customHeight="true" outlineLevel="0" collapsed="false">
      <c r="A31" s="6" t="s">
        <v>43</v>
      </c>
      <c r="B31" s="15" t="n">
        <f aca="false">MAX(0,-MIN('Расчёт 790 ₽'!B43:Y43))</f>
        <v>2488201.15243493</v>
      </c>
      <c r="C31" s="15" t="n">
        <f aca="false">MAX(0,-MIN('Расчёт 990 ₽'!B43:Y43))</f>
        <v>2458844.46074606</v>
      </c>
      <c r="D31" s="15" t="n">
        <f aca="false">MAX(0,-MIN('Расчёт 1490 ₽'!B43:Y43))</f>
        <v>2591487.02818681</v>
      </c>
      <c r="E31" s="8" t="s">
        <v>44</v>
      </c>
    </row>
    <row r="33" customFormat="false" ht="15" hidden="false" customHeight="false" outlineLevel="0" collapsed="false">
      <c r="A33" s="16" t="s">
        <v>45</v>
      </c>
    </row>
    <row r="34" customFormat="false" ht="43.5" hidden="false" customHeight="true" outlineLevel="0" collapsed="false">
      <c r="A34" s="17" t="s">
        <v>46</v>
      </c>
      <c r="B34" s="18" t="s">
        <v>47</v>
      </c>
      <c r="C34" s="18"/>
      <c r="D34" s="18"/>
      <c r="E34" s="18"/>
    </row>
    <row r="35" customFormat="false" ht="43.5" hidden="false" customHeight="true" outlineLevel="0" collapsed="false">
      <c r="A35" s="17" t="s">
        <v>46</v>
      </c>
      <c r="B35" s="18" t="s">
        <v>48</v>
      </c>
      <c r="C35" s="18"/>
      <c r="D35" s="18"/>
      <c r="E35" s="18"/>
    </row>
    <row r="36" customFormat="false" ht="43.5" hidden="false" customHeight="true" outlineLevel="0" collapsed="false">
      <c r="A36" s="17" t="s">
        <v>46</v>
      </c>
      <c r="B36" s="18" t="s">
        <v>49</v>
      </c>
      <c r="C36" s="18"/>
      <c r="D36" s="18"/>
      <c r="E36" s="18"/>
    </row>
    <row r="37" customFormat="false" ht="43.5" hidden="false" customHeight="true" outlineLevel="0" collapsed="false">
      <c r="A37" s="17" t="s">
        <v>46</v>
      </c>
      <c r="B37" s="18" t="s">
        <v>50</v>
      </c>
      <c r="C37" s="18"/>
      <c r="D37" s="18"/>
      <c r="E37" s="18"/>
    </row>
    <row r="38" customFormat="false" ht="43.5" hidden="false" customHeight="true" outlineLevel="0" collapsed="false">
      <c r="A38" s="17" t="s">
        <v>46</v>
      </c>
      <c r="B38" s="18" t="s">
        <v>51</v>
      </c>
      <c r="C38" s="18"/>
      <c r="D38" s="18"/>
      <c r="E38" s="18"/>
    </row>
  </sheetData>
  <mergeCells count="5">
    <mergeCell ref="B34:E34"/>
    <mergeCell ref="B35:E35"/>
    <mergeCell ref="B36:E36"/>
    <mergeCell ref="B37:E37"/>
    <mergeCell ref="B38:E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4" min="2" style="0" width="15"/>
    <col collapsed="false" customWidth="true" hidden="false" outlineLevel="0" max="5" min="5" style="0" width="76"/>
  </cols>
  <sheetData>
    <row r="1" customFormat="false" ht="17.35" hidden="false" customHeight="false" outlineLevel="0" collapsed="false">
      <c r="A1" s="1" t="s">
        <v>52</v>
      </c>
    </row>
    <row r="2" customFormat="false" ht="15" hidden="false" customHeight="false" outlineLevel="0" collapsed="false">
      <c r="A2" s="2" t="s">
        <v>53</v>
      </c>
    </row>
    <row r="4" customFormat="false" ht="15" hidden="false" customHeight="false" outlineLevel="0" collapsed="false">
      <c r="A4" s="19" t="s">
        <v>3</v>
      </c>
      <c r="B4" s="19" t="s">
        <v>4</v>
      </c>
      <c r="C4" s="19" t="s">
        <v>5</v>
      </c>
      <c r="D4" s="19" t="s">
        <v>6</v>
      </c>
      <c r="E4" s="19" t="s">
        <v>54</v>
      </c>
    </row>
    <row r="5" customFormat="false" ht="15" hidden="false" customHeight="false" outlineLevel="0" collapsed="false">
      <c r="A5" s="3" t="s">
        <v>55</v>
      </c>
      <c r="B5" s="4"/>
      <c r="C5" s="4"/>
      <c r="D5" s="4"/>
      <c r="E5" s="4"/>
    </row>
    <row r="6" customFormat="false" ht="30" hidden="false" customHeight="true" outlineLevel="0" collapsed="false">
      <c r="A6" s="6" t="s">
        <v>56</v>
      </c>
      <c r="B6" s="7" t="n">
        <f aca="false">Допущения!$B$8*(1-Допущения!$B$10)+Допущения!$B$9/12*Допущения!$B$10</f>
        <v>763.666666666667</v>
      </c>
      <c r="C6" s="7" t="n">
        <f aca="false">Допущения!$C$8*(1-Допущения!$C$10)+Допущения!$C$9/12*Допущения!$C$10</f>
        <v>953.7</v>
      </c>
      <c r="D6" s="7" t="n">
        <f aca="false">Допущения!$D$8*(1-Допущения!$D$10)+Допущения!$D$9/12*Допущения!$D$10</f>
        <v>1420.46666666667</v>
      </c>
      <c r="E6" s="8" t="s">
        <v>57</v>
      </c>
    </row>
    <row r="7" customFormat="false" ht="30" hidden="false" customHeight="true" outlineLevel="0" collapsed="false">
      <c r="A7" s="6" t="s">
        <v>58</v>
      </c>
      <c r="B7" s="7" t="n">
        <f aca="false">-$B$6*Допущения!$B$52</f>
        <v>-22.91</v>
      </c>
      <c r="C7" s="7" t="n">
        <f aca="false">-$C$6*Допущения!$C$52</f>
        <v>-28.611</v>
      </c>
      <c r="D7" s="7" t="n">
        <f aca="false">-$D$6*Допущения!$D$52</f>
        <v>-42.614</v>
      </c>
      <c r="E7" s="8" t="s">
        <v>59</v>
      </c>
    </row>
    <row r="8" customFormat="false" ht="30" hidden="false" customHeight="true" outlineLevel="0" collapsed="false">
      <c r="A8" s="6" t="s">
        <v>60</v>
      </c>
      <c r="B8" s="7" t="n">
        <f aca="false">-$B$6*Допущения!$B$10*Допущения!$B$53/2</f>
        <v>-3.81833333333333</v>
      </c>
      <c r="C8" s="7" t="n">
        <f aca="false">-$C$6*Допущения!$C$10*Допущения!$C$53/2</f>
        <v>-5.24535</v>
      </c>
      <c r="D8" s="7" t="n">
        <f aca="false">-$D$6*Допущения!$D$10*Допущения!$D$53/2</f>
        <v>-9.94326666666667</v>
      </c>
      <c r="E8" s="8" t="s">
        <v>61</v>
      </c>
    </row>
    <row r="9" customFormat="false" ht="30" hidden="false" customHeight="true" outlineLevel="0" collapsed="false">
      <c r="A9" s="6" t="s">
        <v>62</v>
      </c>
      <c r="B9" s="7" t="n">
        <f aca="false">-Допущения!$B$28*Допущения!$B$29</f>
        <v>-19.2</v>
      </c>
      <c r="C9" s="7" t="n">
        <f aca="false">-Допущения!$C$28*Допущения!$C$29</f>
        <v>-19.2</v>
      </c>
      <c r="D9" s="7" t="n">
        <f aca="false">-Допущения!$D$28*Допущения!$D$29</f>
        <v>-28.5</v>
      </c>
      <c r="E9" s="8" t="s">
        <v>63</v>
      </c>
    </row>
    <row r="10" customFormat="false" ht="30" hidden="false" customHeight="true" outlineLevel="0" collapsed="false">
      <c r="A10" s="20" t="s">
        <v>64</v>
      </c>
      <c r="B10" s="14" t="n">
        <f aca="false">$B$6+$B$7+$B$8+$B$9</f>
        <v>717.738333333333</v>
      </c>
      <c r="C10" s="14" t="n">
        <f aca="false">$C$6+$C$7+$C$8+$C$9</f>
        <v>900.64365</v>
      </c>
      <c r="D10" s="14" t="n">
        <f aca="false">$D$6+$D$7+$D$8+$D$9</f>
        <v>1339.4094</v>
      </c>
      <c r="E10" s="8" t="s">
        <v>65</v>
      </c>
    </row>
    <row r="12" customFormat="false" ht="15" hidden="false" customHeight="false" outlineLevel="0" collapsed="false">
      <c r="A12" s="3" t="s">
        <v>66</v>
      </c>
      <c r="B12" s="4"/>
      <c r="C12" s="4"/>
      <c r="D12" s="4"/>
      <c r="E12" s="4"/>
    </row>
    <row r="13" customFormat="false" ht="30" hidden="false" customHeight="true" outlineLevel="0" collapsed="false">
      <c r="A13" s="6" t="s">
        <v>67</v>
      </c>
      <c r="B13" s="21" t="n">
        <f aca="false">1/Допущения!$B$12</f>
        <v>9.09090909090909</v>
      </c>
      <c r="C13" s="21" t="n">
        <f aca="false">1/Допущения!$C$12</f>
        <v>10</v>
      </c>
      <c r="D13" s="21" t="n">
        <f aca="false">1/Допущения!$D$12</f>
        <v>11.7647058823529</v>
      </c>
      <c r="E13" s="8" t="s">
        <v>68</v>
      </c>
    </row>
    <row r="14" customFormat="false" ht="30" hidden="false" customHeight="true" outlineLevel="0" collapsed="false">
      <c r="A14" s="6" t="s">
        <v>10</v>
      </c>
      <c r="B14" s="7" t="n">
        <f aca="false">$B$10/Допущения!$B$12</f>
        <v>6524.89393939394</v>
      </c>
      <c r="C14" s="7" t="n">
        <f aca="false">$C$10/Допущения!$C$12</f>
        <v>9006.4365</v>
      </c>
      <c r="D14" s="7" t="n">
        <f aca="false">$D$10/Допущения!$D$12</f>
        <v>15757.7576470588</v>
      </c>
      <c r="E14" s="8" t="s">
        <v>69</v>
      </c>
    </row>
    <row r="15" customFormat="false" ht="30" hidden="false" customHeight="true" outlineLevel="0" collapsed="false">
      <c r="A15" s="6" t="s">
        <v>70</v>
      </c>
      <c r="B15" s="7" t="n">
        <f aca="false">Допущения!$B$19/Допущения!$B$20</f>
        <v>8888.88888888889</v>
      </c>
      <c r="C15" s="7" t="n">
        <f aca="false">Допущения!$C$19/Допущения!$C$20</f>
        <v>11428.5714285714</v>
      </c>
      <c r="D15" s="7" t="n">
        <f aca="false">Допущения!$D$19/Допущения!$D$20</f>
        <v>20000</v>
      </c>
      <c r="E15" s="8" t="s">
        <v>71</v>
      </c>
    </row>
    <row r="16" customFormat="false" ht="30" hidden="false" customHeight="true" outlineLevel="0" collapsed="false">
      <c r="A16" s="20" t="s">
        <v>14</v>
      </c>
      <c r="B16" s="22" t="n">
        <f aca="false">$B$14/$B$15</f>
        <v>0.734050568181818</v>
      </c>
      <c r="C16" s="22" t="n">
        <f aca="false">$C$14/$C$15</f>
        <v>0.78806319375</v>
      </c>
      <c r="D16" s="22" t="n">
        <f aca="false">$D$14/$D$15</f>
        <v>0.787887882352941</v>
      </c>
      <c r="E16" s="8" t="s">
        <v>72</v>
      </c>
    </row>
    <row r="17" customFormat="false" ht="30" hidden="false" customHeight="true" outlineLevel="0" collapsed="false">
      <c r="A17" s="6" t="s">
        <v>73</v>
      </c>
      <c r="B17" s="21" t="n">
        <f aca="false">IF($B$10&gt;0,$B$15/$B$10,"—")</f>
        <v>12.38458150564</v>
      </c>
      <c r="C17" s="21" t="n">
        <f aca="false">IF($C$10&gt;0,$C$15/$C$10,"—")</f>
        <v>12.6893377070625</v>
      </c>
      <c r="D17" s="21" t="n">
        <f aca="false">IF($D$10&gt;0,$D$15/$D$10,"—")</f>
        <v>14.9319543374864</v>
      </c>
      <c r="E17" s="8" t="s">
        <v>74</v>
      </c>
    </row>
    <row r="18" customFormat="false" ht="30" hidden="false" customHeight="true" outlineLevel="0" collapsed="false">
      <c r="A18" s="23" t="s">
        <v>75</v>
      </c>
      <c r="B18" s="15" t="n">
        <f aca="false">$B$14*Допущения!$B$20/3</f>
        <v>195.746818181818</v>
      </c>
      <c r="C18" s="15" t="n">
        <f aca="false">$C$14*Допущения!$C$20/3</f>
        <v>210.150185</v>
      </c>
      <c r="D18" s="15" t="n">
        <f aca="false">$D$14*Допущения!$D$20/3</f>
        <v>236.366364705882</v>
      </c>
      <c r="E18" s="8" t="s">
        <v>76</v>
      </c>
    </row>
    <row r="20" customFormat="false" ht="15" hidden="false" customHeight="false" outlineLevel="0" collapsed="false">
      <c r="A20" s="3" t="s">
        <v>77</v>
      </c>
      <c r="B20" s="4"/>
      <c r="C20" s="4"/>
      <c r="D20" s="4"/>
      <c r="E20" s="4"/>
    </row>
    <row r="21" customFormat="false" ht="30" hidden="false" customHeight="true" outlineLevel="0" collapsed="false">
      <c r="A21" s="6" t="s">
        <v>78</v>
      </c>
      <c r="B21" s="7" t="n">
        <f aca="false">Допущения!$B$23+Допущения!$B$24+Допущения!$B$25+Допущения!$B$26+Допущения!$B$31+Допущения!$B$32+Допущения!$B$33+Допущения!$B$34+Допущения!$B$36+Допущения!$B$35+Допущения!$B$38+Допущения!$B$39+Допущения!$B$49/12</f>
        <v>99954.5833333333</v>
      </c>
      <c r="C21" s="7" t="n">
        <f aca="false">Допущения!$C$23+Допущения!$C$24+Допущения!$C$25+Допущения!$C$26+Допущения!$C$31+Допущения!$C$32+Допущения!$C$33+Допущения!$C$34+Допущения!$C$36+Допущения!$C$35+Допущения!$C$38+Допущения!$C$39+Допущения!$C$49/12</f>
        <v>99954.5833333333</v>
      </c>
      <c r="D21" s="7" t="n">
        <f aca="false">Допущения!$D$23+Допущения!$D$24+Допущения!$D$25+Допущения!$D$26+Допущения!$D$31+Допущения!$D$32+Допущения!$D$33+Допущения!$D$34+Допущения!$D$36+Допущения!$D$35+Допущения!$D$38+Допущения!$D$39+Допущения!$D$49/12</f>
        <v>99954.5833333333</v>
      </c>
      <c r="E21" s="8" t="s">
        <v>79</v>
      </c>
    </row>
    <row r="22" customFormat="false" ht="30" hidden="false" customHeight="true" outlineLevel="0" collapsed="false">
      <c r="A22" s="24" t="s">
        <v>80</v>
      </c>
      <c r="B22" s="10" t="n">
        <f aca="false">ROUNDUP($B$21/$B$10,0)</f>
        <v>140</v>
      </c>
      <c r="C22" s="10" t="n">
        <f aca="false">ROUNDUP($C$21/$C$10,0)</f>
        <v>111</v>
      </c>
      <c r="D22" s="10" t="n">
        <f aca="false">ROUNDUP($D$21/$D$10,0)</f>
        <v>75</v>
      </c>
      <c r="E22" s="8" t="s">
        <v>81</v>
      </c>
    </row>
    <row r="23" customFormat="false" ht="30" hidden="false" customHeight="true" outlineLevel="0" collapsed="false">
      <c r="A23" s="6" t="s">
        <v>82</v>
      </c>
      <c r="B23" s="11" t="n">
        <f aca="false">ROUNDUP(($B$21+Допущения!$B$41)/$B$10,0)</f>
        <v>209</v>
      </c>
      <c r="C23" s="11" t="n">
        <f aca="false">ROUNDUP(($C$21+Допущения!$C$41)/$C$10,0)</f>
        <v>167</v>
      </c>
      <c r="D23" s="11" t="n">
        <f aca="false">ROUNDUP(($D$21+Допущения!$D$41)/$D$10,0)</f>
        <v>112</v>
      </c>
      <c r="E23" s="8" t="s">
        <v>83</v>
      </c>
    </row>
    <row r="24" customFormat="false" ht="30" hidden="false" customHeight="true" outlineLevel="0" collapsed="false">
      <c r="A24" s="23" t="s">
        <v>84</v>
      </c>
      <c r="B24" s="12" t="n">
        <f aca="false">ROUNDUP(($B$21+Допущения!$B$43)/$B$10,0)</f>
        <v>279</v>
      </c>
      <c r="C24" s="12" t="n">
        <f aca="false">ROUNDUP(($C$21+Допущения!$C$43)/$C$10,0)</f>
        <v>223</v>
      </c>
      <c r="D24" s="12" t="n">
        <f aca="false">ROUNDUP(($D$21+Допущения!$D$43)/$D$10,0)</f>
        <v>150</v>
      </c>
      <c r="E24" s="8" t="s">
        <v>85</v>
      </c>
    </row>
    <row r="25" customFormat="false" ht="30" hidden="false" customHeight="true" outlineLevel="0" collapsed="false">
      <c r="A25" s="6" t="s">
        <v>86</v>
      </c>
      <c r="B25" s="7" t="n">
        <f aca="false">$B$22*$B$6</f>
        <v>106913.333333333</v>
      </c>
      <c r="C25" s="7" t="n">
        <f aca="false">$C$22*$C$6</f>
        <v>105860.7</v>
      </c>
      <c r="D25" s="7" t="n">
        <f aca="false">$D$22*$D$6</f>
        <v>106535</v>
      </c>
      <c r="E25" s="8"/>
    </row>
    <row r="26" customFormat="false" ht="30" hidden="false" customHeight="true" outlineLevel="0" collapsed="false">
      <c r="A26" s="20" t="s">
        <v>87</v>
      </c>
      <c r="B26" s="13" t="str">
        <f aca="false">IFERROR(MATCH(TRUE(),INDEX('Расчёт 790 ₽'!$B$10:$Y$10&gt;=$B$22,0),0),"за 24 месяца не успеваем")</f>
        <v>за 24 месяца не успеваем</v>
      </c>
      <c r="C26" s="13" t="str">
        <f aca="false">IFERROR(MATCH(TRUE(),INDEX('Расчёт 990 ₽'!$B$10:$Y$10&gt;=$C$22,0),0),"за 24 месяца не успеваем")</f>
        <v>за 24 месяца не успеваем</v>
      </c>
      <c r="D26" s="13" t="str">
        <f aca="false">IFERROR(MATCH(TRUE(),INDEX('Расчёт 1490 ₽'!$B$10:$Y$10&gt;=$D$22,0),0),"за 24 месяца не успеваем")</f>
        <v>за 24 месяца не успеваем</v>
      </c>
      <c r="E26" s="8" t="s">
        <v>88</v>
      </c>
    </row>
    <row r="27" customFormat="false" ht="30" hidden="false" customHeight="true" outlineLevel="0" collapsed="false">
      <c r="A27" s="6" t="s">
        <v>89</v>
      </c>
      <c r="B27" s="11" t="n">
        <f aca="false">ROUNDUP(Допущения!$B$47/12/$B$6,0)</f>
        <v>6548</v>
      </c>
      <c r="C27" s="11" t="n">
        <f aca="false">ROUNDUP(Допущения!$C$47/12/$C$6,0)</f>
        <v>5243</v>
      </c>
      <c r="D27" s="11" t="n">
        <f aca="false">ROUNDUP(Допущения!$D$47/12/$D$6,0)</f>
        <v>3520</v>
      </c>
      <c r="E27" s="8" t="s">
        <v>90</v>
      </c>
    </row>
    <row r="29" customFormat="false" ht="15" hidden="false" customHeight="false" outlineLevel="0" collapsed="false">
      <c r="A29" s="16" t="s">
        <v>91</v>
      </c>
    </row>
    <row r="30" customFormat="false" ht="57.75" hidden="false" customHeight="true" outlineLevel="0" collapsed="false">
      <c r="A30" s="17" t="s">
        <v>46</v>
      </c>
      <c r="B30" s="18" t="s">
        <v>92</v>
      </c>
      <c r="C30" s="18"/>
      <c r="D30" s="18"/>
      <c r="E30" s="18"/>
    </row>
    <row r="31" customFormat="false" ht="57.75" hidden="false" customHeight="true" outlineLevel="0" collapsed="false">
      <c r="A31" s="17" t="s">
        <v>46</v>
      </c>
      <c r="B31" s="18" t="s">
        <v>93</v>
      </c>
      <c r="C31" s="18"/>
      <c r="D31" s="18"/>
      <c r="E31" s="18"/>
    </row>
    <row r="32" customFormat="false" ht="57.75" hidden="false" customHeight="true" outlineLevel="0" collapsed="false">
      <c r="A32" s="17" t="s">
        <v>46</v>
      </c>
      <c r="B32" s="18" t="s">
        <v>94</v>
      </c>
      <c r="C32" s="18"/>
      <c r="D32" s="18"/>
      <c r="E32" s="18"/>
    </row>
    <row r="33" customFormat="false" ht="57.75" hidden="false" customHeight="true" outlineLevel="0" collapsed="false">
      <c r="A33" s="17" t="s">
        <v>46</v>
      </c>
      <c r="B33" s="18" t="s">
        <v>95</v>
      </c>
      <c r="C33" s="18"/>
      <c r="D33" s="18"/>
      <c r="E33" s="18"/>
    </row>
  </sheetData>
  <mergeCells count="4">
    <mergeCell ref="B30:E30"/>
    <mergeCell ref="B31:E31"/>
    <mergeCell ref="B32:E32"/>
    <mergeCell ref="B33:E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78"/>
  </cols>
  <sheetData>
    <row r="1" customFormat="false" ht="17.35" hidden="false" customHeight="false" outlineLevel="0" collapsed="false">
      <c r="A1" s="1" t="s">
        <v>96</v>
      </c>
    </row>
    <row r="2" customFormat="false" ht="15" hidden="false" customHeight="false" outlineLevel="0" collapsed="false">
      <c r="A2" s="2" t="s">
        <v>97</v>
      </c>
    </row>
    <row r="3" customFormat="false" ht="15" hidden="false" customHeight="false" outlineLevel="0" collapsed="false">
      <c r="A3" s="2" t="s">
        <v>98</v>
      </c>
    </row>
    <row r="4" customFormat="false" ht="15" hidden="false" customHeight="false" outlineLevel="0" collapsed="false">
      <c r="A4" s="2" t="s">
        <v>99</v>
      </c>
    </row>
    <row r="6" customFormat="false" ht="15" hidden="false" customHeight="false" outlineLevel="0" collapsed="false">
      <c r="A6" s="5" t="s">
        <v>3</v>
      </c>
      <c r="B6" s="5" t="s">
        <v>4</v>
      </c>
      <c r="C6" s="5" t="s">
        <v>5</v>
      </c>
      <c r="D6" s="5" t="s">
        <v>6</v>
      </c>
      <c r="E6" s="5" t="s">
        <v>100</v>
      </c>
    </row>
    <row r="7" customFormat="false" ht="15" hidden="false" customHeight="false" outlineLevel="0" collapsed="false">
      <c r="A7" s="3" t="s">
        <v>101</v>
      </c>
      <c r="B7" s="4"/>
      <c r="C7" s="4"/>
      <c r="D7" s="4"/>
      <c r="E7" s="4"/>
    </row>
    <row r="8" customFormat="false" ht="30" hidden="false" customHeight="true" outlineLevel="0" collapsed="false">
      <c r="A8" s="6" t="s">
        <v>102</v>
      </c>
      <c r="B8" s="25" t="n">
        <v>790</v>
      </c>
      <c r="C8" s="25" t="n">
        <v>990</v>
      </c>
      <c r="D8" s="25" t="n">
        <v>1490</v>
      </c>
      <c r="E8" s="8" t="s">
        <v>103</v>
      </c>
    </row>
    <row r="9" customFormat="false" ht="30" hidden="false" customHeight="true" outlineLevel="0" collapsed="false">
      <c r="A9" s="6" t="s">
        <v>104</v>
      </c>
      <c r="B9" s="25" t="n">
        <v>7900</v>
      </c>
      <c r="C9" s="25" t="n">
        <v>9900</v>
      </c>
      <c r="D9" s="25" t="n">
        <v>14900</v>
      </c>
      <c r="E9" s="8" t="s">
        <v>105</v>
      </c>
    </row>
    <row r="10" customFormat="false" ht="30" hidden="false" customHeight="true" outlineLevel="0" collapsed="false">
      <c r="A10" s="6" t="s">
        <v>106</v>
      </c>
      <c r="B10" s="26" t="n">
        <v>0.2</v>
      </c>
      <c r="C10" s="26" t="n">
        <v>0.22</v>
      </c>
      <c r="D10" s="26" t="n">
        <v>0.28</v>
      </c>
      <c r="E10" s="8" t="s">
        <v>107</v>
      </c>
    </row>
    <row r="11" customFormat="false" ht="15" hidden="false" customHeight="false" outlineLevel="0" collapsed="false">
      <c r="A11" s="3" t="s">
        <v>108</v>
      </c>
      <c r="B11" s="4"/>
      <c r="C11" s="4"/>
      <c r="D11" s="4"/>
      <c r="E11" s="4"/>
    </row>
    <row r="12" customFormat="false" ht="30" hidden="false" customHeight="true" outlineLevel="0" collapsed="false">
      <c r="A12" s="6" t="s">
        <v>109</v>
      </c>
      <c r="B12" s="26" t="n">
        <v>0.11</v>
      </c>
      <c r="C12" s="26" t="n">
        <v>0.1</v>
      </c>
      <c r="D12" s="26" t="n">
        <v>0.085</v>
      </c>
      <c r="E12" s="8" t="s">
        <v>110</v>
      </c>
    </row>
    <row r="13" customFormat="false" ht="30" hidden="false" customHeight="true" outlineLevel="0" collapsed="false">
      <c r="A13" s="6" t="s">
        <v>111</v>
      </c>
      <c r="B13" s="26" t="n">
        <v>0.02</v>
      </c>
      <c r="C13" s="26" t="n">
        <v>0.02</v>
      </c>
      <c r="D13" s="26" t="n">
        <v>0.02</v>
      </c>
      <c r="E13" s="8" t="s">
        <v>112</v>
      </c>
    </row>
    <row r="14" customFormat="false" ht="15" hidden="false" customHeight="false" outlineLevel="0" collapsed="false">
      <c r="A14" s="3" t="s">
        <v>113</v>
      </c>
      <c r="B14" s="4"/>
      <c r="C14" s="4"/>
      <c r="D14" s="4"/>
      <c r="E14" s="4"/>
    </row>
    <row r="15" customFormat="false" ht="30" hidden="false" customHeight="true" outlineLevel="0" collapsed="false">
      <c r="A15" s="6" t="s">
        <v>114</v>
      </c>
      <c r="B15" s="27" t="n">
        <v>25000</v>
      </c>
      <c r="C15" s="27" t="n">
        <v>25000</v>
      </c>
      <c r="D15" s="27" t="n">
        <v>18000</v>
      </c>
      <c r="E15" s="8" t="s">
        <v>115</v>
      </c>
    </row>
    <row r="16" customFormat="false" ht="30" hidden="false" customHeight="true" outlineLevel="0" collapsed="false">
      <c r="A16" s="6" t="s">
        <v>116</v>
      </c>
      <c r="B16" s="26" t="n">
        <v>0.045</v>
      </c>
      <c r="C16" s="26" t="n">
        <v>0.035</v>
      </c>
      <c r="D16" s="26" t="n">
        <v>0.025</v>
      </c>
      <c r="E16" s="8" t="s">
        <v>117</v>
      </c>
    </row>
    <row r="17" customFormat="false" ht="30" hidden="false" customHeight="true" outlineLevel="0" collapsed="false">
      <c r="A17" s="6" t="s">
        <v>118</v>
      </c>
      <c r="B17" s="27" t="n">
        <v>25</v>
      </c>
      <c r="C17" s="27" t="n">
        <v>25</v>
      </c>
      <c r="D17" s="27" t="n">
        <v>25</v>
      </c>
      <c r="E17" s="8" t="s">
        <v>119</v>
      </c>
    </row>
    <row r="18" customFormat="false" ht="30" hidden="false" customHeight="true" outlineLevel="0" collapsed="false">
      <c r="A18" s="6" t="s">
        <v>120</v>
      </c>
      <c r="B18" s="26" t="n">
        <v>0.1</v>
      </c>
      <c r="C18" s="26" t="n">
        <v>0.1</v>
      </c>
      <c r="D18" s="26" t="n">
        <v>0.09</v>
      </c>
      <c r="E18" s="8" t="s">
        <v>121</v>
      </c>
    </row>
    <row r="19" customFormat="false" ht="30" hidden="false" customHeight="true" outlineLevel="0" collapsed="false">
      <c r="A19" s="6" t="s">
        <v>122</v>
      </c>
      <c r="B19" s="25" t="n">
        <v>800</v>
      </c>
      <c r="C19" s="25" t="n">
        <v>800</v>
      </c>
      <c r="D19" s="25" t="n">
        <v>900</v>
      </c>
      <c r="E19" s="8" t="s">
        <v>123</v>
      </c>
    </row>
    <row r="20" customFormat="false" ht="30" hidden="false" customHeight="true" outlineLevel="0" collapsed="false">
      <c r="A20" s="6" t="s">
        <v>124</v>
      </c>
      <c r="B20" s="26" t="n">
        <v>0.09</v>
      </c>
      <c r="C20" s="26" t="n">
        <v>0.07</v>
      </c>
      <c r="D20" s="26" t="n">
        <v>0.045</v>
      </c>
      <c r="E20" s="8" t="s">
        <v>125</v>
      </c>
    </row>
    <row r="21" customFormat="false" ht="30" hidden="false" customHeight="true" outlineLevel="0" collapsed="false">
      <c r="A21" s="6" t="s">
        <v>126</v>
      </c>
      <c r="B21" s="27" t="n">
        <v>2</v>
      </c>
      <c r="C21" s="27" t="n">
        <v>2</v>
      </c>
      <c r="D21" s="27" t="n">
        <v>3</v>
      </c>
      <c r="E21" s="8" t="s">
        <v>127</v>
      </c>
    </row>
    <row r="22" customFormat="false" ht="15" hidden="false" customHeight="false" outlineLevel="0" collapsed="false">
      <c r="A22" s="3" t="s">
        <v>128</v>
      </c>
      <c r="B22" s="4"/>
      <c r="C22" s="4"/>
      <c r="D22" s="4"/>
      <c r="E22" s="4"/>
    </row>
    <row r="23" customFormat="false" ht="30" hidden="false" customHeight="true" outlineLevel="0" collapsed="false">
      <c r="A23" s="6" t="s">
        <v>129</v>
      </c>
      <c r="B23" s="25" t="n">
        <v>5300</v>
      </c>
      <c r="C23" s="25" t="n">
        <v>5300</v>
      </c>
      <c r="D23" s="25" t="n">
        <v>5300</v>
      </c>
      <c r="E23" s="8" t="s">
        <v>130</v>
      </c>
    </row>
    <row r="24" customFormat="false" ht="30" hidden="false" customHeight="true" outlineLevel="0" collapsed="false">
      <c r="A24" s="6" t="s">
        <v>131</v>
      </c>
      <c r="B24" s="25" t="n">
        <v>7000</v>
      </c>
      <c r="C24" s="25" t="n">
        <v>7000</v>
      </c>
      <c r="D24" s="25" t="n">
        <v>7000</v>
      </c>
      <c r="E24" s="8" t="s">
        <v>132</v>
      </c>
    </row>
    <row r="25" customFormat="false" ht="30" hidden="false" customHeight="true" outlineLevel="0" collapsed="false">
      <c r="A25" s="6" t="s">
        <v>133</v>
      </c>
      <c r="B25" s="25" t="n">
        <v>20000</v>
      </c>
      <c r="C25" s="25" t="n">
        <v>20000</v>
      </c>
      <c r="D25" s="25" t="n">
        <v>20000</v>
      </c>
      <c r="E25" s="8" t="s">
        <v>134</v>
      </c>
    </row>
    <row r="26" customFormat="false" ht="30" hidden="false" customHeight="true" outlineLevel="0" collapsed="false">
      <c r="A26" s="6" t="s">
        <v>135</v>
      </c>
      <c r="B26" s="25" t="n">
        <v>1908</v>
      </c>
      <c r="C26" s="25" t="n">
        <v>1908</v>
      </c>
      <c r="D26" s="25" t="n">
        <v>1908</v>
      </c>
      <c r="E26" s="8" t="s">
        <v>136</v>
      </c>
    </row>
    <row r="27" customFormat="false" ht="15" hidden="false" customHeight="false" outlineLevel="0" collapsed="false">
      <c r="A27" s="3" t="s">
        <v>137</v>
      </c>
      <c r="B27" s="4"/>
      <c r="C27" s="4"/>
      <c r="D27" s="4"/>
      <c r="E27" s="4"/>
    </row>
    <row r="28" customFormat="false" ht="30" hidden="false" customHeight="true" outlineLevel="0" collapsed="false">
      <c r="A28" s="6" t="s">
        <v>138</v>
      </c>
      <c r="B28" s="27" t="n">
        <v>12</v>
      </c>
      <c r="C28" s="27" t="n">
        <v>12</v>
      </c>
      <c r="D28" s="27" t="n">
        <v>15</v>
      </c>
      <c r="E28" s="8" t="s">
        <v>139</v>
      </c>
    </row>
    <row r="29" customFormat="false" ht="30" hidden="false" customHeight="true" outlineLevel="0" collapsed="false">
      <c r="A29" s="6" t="s">
        <v>140</v>
      </c>
      <c r="B29" s="25" t="n">
        <v>1.6</v>
      </c>
      <c r="C29" s="25" t="n">
        <v>1.6</v>
      </c>
      <c r="D29" s="25" t="n">
        <v>1.9</v>
      </c>
      <c r="E29" s="8" t="s">
        <v>141</v>
      </c>
    </row>
    <row r="30" customFormat="false" ht="15" hidden="false" customHeight="false" outlineLevel="0" collapsed="false">
      <c r="A30" s="3" t="s">
        <v>142</v>
      </c>
      <c r="B30" s="4"/>
      <c r="C30" s="4"/>
      <c r="D30" s="4"/>
      <c r="E30" s="4"/>
    </row>
    <row r="31" customFormat="false" ht="30" hidden="false" customHeight="true" outlineLevel="0" collapsed="false">
      <c r="A31" s="6" t="s">
        <v>143</v>
      </c>
      <c r="B31" s="25" t="n">
        <v>8000</v>
      </c>
      <c r="C31" s="25" t="n">
        <v>8000</v>
      </c>
      <c r="D31" s="25" t="n">
        <v>8000</v>
      </c>
      <c r="E31" s="8" t="s">
        <v>144</v>
      </c>
    </row>
    <row r="32" customFormat="false" ht="30" hidden="false" customHeight="true" outlineLevel="0" collapsed="false">
      <c r="A32" s="6" t="s">
        <v>145</v>
      </c>
      <c r="B32" s="25" t="n">
        <v>2500</v>
      </c>
      <c r="C32" s="25" t="n">
        <v>2500</v>
      </c>
      <c r="D32" s="25" t="n">
        <v>2500</v>
      </c>
      <c r="E32" s="8" t="s">
        <v>146</v>
      </c>
    </row>
    <row r="33" customFormat="false" ht="30" hidden="false" customHeight="true" outlineLevel="0" collapsed="false">
      <c r="A33" s="6" t="s">
        <v>147</v>
      </c>
      <c r="B33" s="25" t="n">
        <v>7000</v>
      </c>
      <c r="C33" s="25" t="n">
        <v>7000</v>
      </c>
      <c r="D33" s="25" t="n">
        <v>7000</v>
      </c>
      <c r="E33" s="8" t="s">
        <v>148</v>
      </c>
    </row>
    <row r="34" customFormat="false" ht="30" hidden="false" customHeight="true" outlineLevel="0" collapsed="false">
      <c r="A34" s="6" t="s">
        <v>149</v>
      </c>
      <c r="B34" s="25" t="n">
        <v>10000</v>
      </c>
      <c r="C34" s="25" t="n">
        <v>10000</v>
      </c>
      <c r="D34" s="25" t="n">
        <v>10000</v>
      </c>
      <c r="E34" s="8" t="s">
        <v>150</v>
      </c>
    </row>
    <row r="35" customFormat="false" ht="30" hidden="false" customHeight="true" outlineLevel="0" collapsed="false">
      <c r="A35" s="6" t="s">
        <v>151</v>
      </c>
      <c r="B35" s="25" t="n">
        <v>30000</v>
      </c>
      <c r="C35" s="25" t="n">
        <v>30000</v>
      </c>
      <c r="D35" s="25" t="n">
        <v>30000</v>
      </c>
      <c r="E35" s="8" t="s">
        <v>152</v>
      </c>
    </row>
    <row r="36" customFormat="false" ht="30" hidden="false" customHeight="true" outlineLevel="0" collapsed="false">
      <c r="A36" s="6" t="s">
        <v>153</v>
      </c>
      <c r="B36" s="25" t="n">
        <v>8000</v>
      </c>
      <c r="C36" s="25" t="n">
        <v>8000</v>
      </c>
      <c r="D36" s="25" t="n">
        <v>8000</v>
      </c>
      <c r="E36" s="8" t="s">
        <v>154</v>
      </c>
    </row>
    <row r="37" customFormat="false" ht="15" hidden="false" customHeight="false" outlineLevel="0" collapsed="false">
      <c r="A37" s="3" t="s">
        <v>155</v>
      </c>
      <c r="B37" s="4"/>
      <c r="C37" s="4"/>
      <c r="D37" s="4"/>
      <c r="E37" s="4"/>
    </row>
    <row r="38" customFormat="false" ht="30" hidden="false" customHeight="true" outlineLevel="0" collapsed="false">
      <c r="A38" s="6" t="s">
        <v>156</v>
      </c>
      <c r="B38" s="25" t="n">
        <v>0</v>
      </c>
      <c r="C38" s="25" t="n">
        <v>0</v>
      </c>
      <c r="D38" s="25" t="n">
        <v>0</v>
      </c>
      <c r="E38" s="8" t="s">
        <v>157</v>
      </c>
    </row>
    <row r="39" customFormat="false" ht="30" hidden="false" customHeight="true" outlineLevel="0" collapsed="false">
      <c r="A39" s="6" t="s">
        <v>158</v>
      </c>
      <c r="B39" s="25" t="n">
        <v>0</v>
      </c>
      <c r="C39" s="25" t="n">
        <v>0</v>
      </c>
      <c r="D39" s="25" t="n">
        <v>0</v>
      </c>
      <c r="E39" s="8" t="s">
        <v>159</v>
      </c>
    </row>
    <row r="40" customFormat="false" ht="30" hidden="false" customHeight="true" outlineLevel="0" collapsed="false">
      <c r="A40" s="6" t="s">
        <v>160</v>
      </c>
      <c r="B40" s="27" t="n">
        <v>3</v>
      </c>
      <c r="C40" s="27" t="n">
        <v>3</v>
      </c>
      <c r="D40" s="27" t="n">
        <v>3</v>
      </c>
      <c r="E40" s="8" t="s">
        <v>161</v>
      </c>
    </row>
    <row r="41" customFormat="false" ht="30" hidden="false" customHeight="true" outlineLevel="0" collapsed="false">
      <c r="A41" s="6" t="s">
        <v>162</v>
      </c>
      <c r="B41" s="25" t="n">
        <v>50000</v>
      </c>
      <c r="C41" s="25" t="n">
        <v>50000</v>
      </c>
      <c r="D41" s="25" t="n">
        <v>50000</v>
      </c>
      <c r="E41" s="8" t="s">
        <v>163</v>
      </c>
    </row>
    <row r="42" customFormat="false" ht="30" hidden="false" customHeight="true" outlineLevel="0" collapsed="false">
      <c r="A42" s="6" t="s">
        <v>164</v>
      </c>
      <c r="B42" s="27" t="n">
        <v>12</v>
      </c>
      <c r="C42" s="27" t="n">
        <v>12</v>
      </c>
      <c r="D42" s="27" t="n">
        <v>12</v>
      </c>
      <c r="E42" s="8" t="s">
        <v>165</v>
      </c>
    </row>
    <row r="43" customFormat="false" ht="30" hidden="false" customHeight="true" outlineLevel="0" collapsed="false">
      <c r="A43" s="6" t="s">
        <v>166</v>
      </c>
      <c r="B43" s="25" t="n">
        <v>100000</v>
      </c>
      <c r="C43" s="25" t="n">
        <v>100000</v>
      </c>
      <c r="D43" s="25" t="n">
        <v>100000</v>
      </c>
      <c r="E43" s="8" t="s">
        <v>167</v>
      </c>
    </row>
    <row r="44" customFormat="false" ht="15" hidden="false" customHeight="false" outlineLevel="0" collapsed="false">
      <c r="A44" s="3" t="s">
        <v>168</v>
      </c>
      <c r="B44" s="4"/>
      <c r="C44" s="4"/>
      <c r="D44" s="4"/>
      <c r="E44" s="4"/>
    </row>
    <row r="45" customFormat="false" ht="30" hidden="false" customHeight="true" outlineLevel="0" collapsed="false">
      <c r="A45" s="6" t="s">
        <v>169</v>
      </c>
      <c r="B45" s="26" t="n">
        <v>0.2</v>
      </c>
      <c r="C45" s="26" t="n">
        <v>0.2</v>
      </c>
      <c r="D45" s="26" t="n">
        <v>0.2</v>
      </c>
      <c r="E45" s="8" t="s">
        <v>170</v>
      </c>
    </row>
    <row r="46" customFormat="false" ht="30" hidden="false" customHeight="true" outlineLevel="0" collapsed="false">
      <c r="A46" s="6" t="s">
        <v>171</v>
      </c>
      <c r="B46" s="26" t="n">
        <v>0.03</v>
      </c>
      <c r="C46" s="26" t="n">
        <v>0.03</v>
      </c>
      <c r="D46" s="26" t="n">
        <v>0.03</v>
      </c>
      <c r="E46" s="8" t="s">
        <v>172</v>
      </c>
    </row>
    <row r="47" customFormat="false" ht="30" hidden="false" customHeight="true" outlineLevel="0" collapsed="false">
      <c r="A47" s="6" t="s">
        <v>173</v>
      </c>
      <c r="B47" s="25" t="n">
        <v>60000000</v>
      </c>
      <c r="C47" s="25" t="n">
        <v>60000000</v>
      </c>
      <c r="D47" s="25" t="n">
        <v>60000000</v>
      </c>
      <c r="E47" s="8" t="s">
        <v>174</v>
      </c>
    </row>
    <row r="48" customFormat="false" ht="30" hidden="false" customHeight="true" outlineLevel="0" collapsed="false">
      <c r="A48" s="6" t="s">
        <v>175</v>
      </c>
      <c r="B48" s="26" t="n">
        <v>0.05</v>
      </c>
      <c r="C48" s="26" t="n">
        <v>0.05</v>
      </c>
      <c r="D48" s="26" t="n">
        <v>0.05</v>
      </c>
      <c r="E48" s="8" t="s">
        <v>176</v>
      </c>
    </row>
    <row r="49" customFormat="false" ht="30" hidden="false" customHeight="true" outlineLevel="0" collapsed="false">
      <c r="A49" s="6" t="s">
        <v>177</v>
      </c>
      <c r="B49" s="25" t="n">
        <v>2959</v>
      </c>
      <c r="C49" s="25" t="n">
        <v>2959</v>
      </c>
      <c r="D49" s="25" t="n">
        <v>2959</v>
      </c>
      <c r="E49" s="8" t="s">
        <v>178</v>
      </c>
    </row>
    <row r="50" customFormat="false" ht="30" hidden="false" customHeight="true" outlineLevel="0" collapsed="false">
      <c r="A50" s="6" t="s">
        <v>179</v>
      </c>
      <c r="B50" s="25" t="n">
        <v>27093</v>
      </c>
      <c r="C50" s="25" t="n">
        <v>27093</v>
      </c>
      <c r="D50" s="25" t="n">
        <v>27093</v>
      </c>
      <c r="E50" s="8" t="s">
        <v>180</v>
      </c>
    </row>
    <row r="51" customFormat="false" ht="30" hidden="false" customHeight="true" outlineLevel="0" collapsed="false">
      <c r="A51" s="6" t="s">
        <v>181</v>
      </c>
      <c r="B51" s="26" t="n">
        <v>0.3</v>
      </c>
      <c r="C51" s="26" t="n">
        <v>0.3</v>
      </c>
      <c r="D51" s="26" t="n">
        <v>0.3</v>
      </c>
      <c r="E51" s="8" t="s">
        <v>182</v>
      </c>
    </row>
    <row r="52" customFormat="false" ht="30" hidden="false" customHeight="true" outlineLevel="0" collapsed="false">
      <c r="A52" s="6" t="s">
        <v>183</v>
      </c>
      <c r="B52" s="26" t="n">
        <v>0.03</v>
      </c>
      <c r="C52" s="26" t="n">
        <v>0.03</v>
      </c>
      <c r="D52" s="26" t="n">
        <v>0.03</v>
      </c>
      <c r="E52" s="8" t="s">
        <v>184</v>
      </c>
    </row>
    <row r="53" customFormat="false" ht="30" hidden="false" customHeight="true" outlineLevel="0" collapsed="false">
      <c r="A53" s="6" t="s">
        <v>185</v>
      </c>
      <c r="B53" s="26" t="n">
        <v>0.05</v>
      </c>
      <c r="C53" s="26" t="n">
        <v>0.05</v>
      </c>
      <c r="D53" s="26" t="n">
        <v>0.05</v>
      </c>
      <c r="E53" s="8" t="s">
        <v>186</v>
      </c>
    </row>
    <row r="54" customFormat="false" ht="15" hidden="false" customHeight="false" outlineLevel="0" collapsed="false">
      <c r="A54" s="3" t="s">
        <v>187</v>
      </c>
      <c r="B54" s="4"/>
      <c r="C54" s="4"/>
      <c r="D54" s="4"/>
      <c r="E54" s="4"/>
    </row>
    <row r="55" customFormat="false" ht="30" hidden="false" customHeight="true" outlineLevel="0" collapsed="false">
      <c r="A55" s="6" t="s">
        <v>188</v>
      </c>
      <c r="B55" s="25" t="n">
        <v>500000</v>
      </c>
      <c r="C55" s="25" t="n">
        <v>500000</v>
      </c>
      <c r="D55" s="25" t="n">
        <v>500000</v>
      </c>
      <c r="E55" s="8" t="s">
        <v>189</v>
      </c>
    </row>
    <row r="56" customFormat="false" ht="30" hidden="false" customHeight="true" outlineLevel="0" collapsed="false">
      <c r="A56" s="6" t="s">
        <v>190</v>
      </c>
      <c r="B56" s="27" t="n">
        <v>0</v>
      </c>
      <c r="C56" s="27" t="n">
        <v>0</v>
      </c>
      <c r="D56" s="27" t="n">
        <v>0</v>
      </c>
      <c r="E56" s="8" t="s">
        <v>191</v>
      </c>
    </row>
    <row r="58" customFormat="false" ht="15" hidden="false" customHeight="false" outlineLevel="0" collapsed="false">
      <c r="A58" s="16" t="s">
        <v>192</v>
      </c>
    </row>
    <row r="59" customFormat="false" ht="30" hidden="false" customHeight="true" outlineLevel="0" collapsed="false">
      <c r="A59" s="17" t="s">
        <v>46</v>
      </c>
      <c r="B59" s="28" t="s">
        <v>193</v>
      </c>
      <c r="C59" s="28"/>
      <c r="D59" s="28"/>
      <c r="E59" s="28"/>
    </row>
    <row r="60" customFormat="false" ht="30" hidden="false" customHeight="true" outlineLevel="0" collapsed="false">
      <c r="A60" s="17" t="s">
        <v>46</v>
      </c>
      <c r="B60" s="28" t="s">
        <v>194</v>
      </c>
      <c r="C60" s="28"/>
      <c r="D60" s="28"/>
      <c r="E60" s="28"/>
    </row>
    <row r="61" customFormat="false" ht="30" hidden="false" customHeight="true" outlineLevel="0" collapsed="false">
      <c r="A61" s="17" t="s">
        <v>46</v>
      </c>
      <c r="B61" s="28" t="s">
        <v>195</v>
      </c>
      <c r="C61" s="28"/>
      <c r="D61" s="28"/>
      <c r="E61" s="28"/>
    </row>
    <row r="62" customFormat="false" ht="30" hidden="false" customHeight="true" outlineLevel="0" collapsed="false">
      <c r="A62" s="17" t="s">
        <v>46</v>
      </c>
      <c r="B62" s="28" t="s">
        <v>196</v>
      </c>
      <c r="C62" s="28"/>
      <c r="D62" s="28"/>
      <c r="E62" s="28"/>
    </row>
  </sheetData>
  <mergeCells count="4">
    <mergeCell ref="B59:E59"/>
    <mergeCell ref="B60:E60"/>
    <mergeCell ref="B61:E61"/>
    <mergeCell ref="B62:E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197</v>
      </c>
    </row>
    <row r="2" customFormat="false" ht="15" hidden="false" customHeight="false" outlineLevel="0" collapsed="false">
      <c r="A2" s="2" t="s">
        <v>198</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7" t="s">
        <v>225</v>
      </c>
      <c r="B6" s="11" t="n">
        <f aca="false">Допущения!$B$17*(1+Допущения!$B$18)^0</f>
        <v>25</v>
      </c>
      <c r="C6" s="11" t="n">
        <f aca="false">Допущения!$B$17*(1+Допущения!$B$18)^1</f>
        <v>27.5</v>
      </c>
      <c r="D6" s="11" t="n">
        <f aca="false">Допущения!$B$17*(1+Допущения!$B$18)^2</f>
        <v>30.25</v>
      </c>
      <c r="E6" s="11" t="n">
        <f aca="false">Допущения!$B$17*(1+Допущения!$B$18)^3</f>
        <v>33.275</v>
      </c>
      <c r="F6" s="11" t="n">
        <f aca="false">Допущения!$B$17*(1+Допущения!$B$18)^4</f>
        <v>36.6025</v>
      </c>
      <c r="G6" s="11" t="n">
        <f aca="false">Допущения!$B$17*(1+Допущения!$B$18)^5</f>
        <v>40.26275</v>
      </c>
      <c r="H6" s="11" t="n">
        <f aca="false">Допущения!$B$17*(1+Допущения!$B$18)^6</f>
        <v>44.289025</v>
      </c>
      <c r="I6" s="11" t="n">
        <f aca="false">Допущения!$B$17*(1+Допущения!$B$18)^7</f>
        <v>48.7179275</v>
      </c>
      <c r="J6" s="11" t="n">
        <f aca="false">Допущения!$B$17*(1+Допущения!$B$18)^8</f>
        <v>53.58972025</v>
      </c>
      <c r="K6" s="11" t="n">
        <f aca="false">Допущения!$B$17*(1+Допущения!$B$18)^9</f>
        <v>58.9486922750001</v>
      </c>
      <c r="L6" s="11" t="n">
        <f aca="false">Допущения!$B$17*(1+Допущения!$B$18)^10</f>
        <v>64.8435615025001</v>
      </c>
      <c r="M6" s="11" t="n">
        <f aca="false">Допущения!$B$17*(1+Допущения!$B$18)^11</f>
        <v>71.3279176527501</v>
      </c>
      <c r="N6" s="11" t="n">
        <f aca="false">Допущения!$B$17*(1+Допущения!$B$18)^12</f>
        <v>78.4607094180251</v>
      </c>
      <c r="O6" s="11" t="n">
        <f aca="false">Допущения!$B$17*(1+Допущения!$B$18)^13</f>
        <v>86.3067803598276</v>
      </c>
      <c r="P6" s="11" t="n">
        <f aca="false">Допущения!$B$17*(1+Допущения!$B$18)^14</f>
        <v>94.9374583958104</v>
      </c>
      <c r="Q6" s="11" t="n">
        <f aca="false">Допущения!$B$17*(1+Допущения!$B$18)^15</f>
        <v>104.431204235391</v>
      </c>
      <c r="R6" s="11" t="n">
        <f aca="false">Допущения!$B$17*(1+Допущения!$B$18)^16</f>
        <v>114.874324658931</v>
      </c>
      <c r="S6" s="11" t="n">
        <f aca="false">Допущения!$B$17*(1+Допущения!$B$18)^17</f>
        <v>126.361757124824</v>
      </c>
      <c r="T6" s="11" t="n">
        <f aca="false">Допущения!$B$17*(1+Допущения!$B$18)^18</f>
        <v>138.997932837306</v>
      </c>
      <c r="U6" s="11" t="n">
        <f aca="false">Допущения!$B$17*(1+Допущения!$B$18)^19</f>
        <v>152.897726121037</v>
      </c>
      <c r="V6" s="11" t="n">
        <f aca="false">Допущения!$B$17*(1+Допущения!$B$18)^20</f>
        <v>168.18749873314</v>
      </c>
      <c r="W6" s="11" t="n">
        <f aca="false">Допущения!$B$17*(1+Допущения!$B$18)^21</f>
        <v>185.006248606454</v>
      </c>
      <c r="X6" s="11" t="n">
        <f aca="false">Допущения!$B$17*(1+Допущения!$B$18)^22</f>
        <v>203.5068734671</v>
      </c>
      <c r="Y6" s="11" t="n">
        <f aca="false">Допущения!$B$17*(1+Допущения!$B$18)^23</f>
        <v>223.85756081381</v>
      </c>
    </row>
    <row r="7" customFormat="false" ht="22.35" hidden="false" customHeight="false" outlineLevel="0" collapsed="false">
      <c r="A7" s="17" t="s">
        <v>226</v>
      </c>
      <c r="B7" s="11" t="n">
        <f aca="false">Допущения!$B$35/Допущения!$B$19</f>
        <v>37.5</v>
      </c>
      <c r="C7" s="11" t="n">
        <f aca="false">Допущения!$B$35/Допущения!$B$19</f>
        <v>37.5</v>
      </c>
      <c r="D7" s="11" t="n">
        <f aca="false">Допущения!$B$35/Допущения!$B$19</f>
        <v>37.5</v>
      </c>
      <c r="E7" s="11" t="n">
        <f aca="false">Допущения!$B$35/Допущения!$B$19</f>
        <v>37.5</v>
      </c>
      <c r="F7" s="11" t="n">
        <f aca="false">Допущения!$B$35/Допущения!$B$19</f>
        <v>37.5</v>
      </c>
      <c r="G7" s="11" t="n">
        <f aca="false">Допущения!$B$35/Допущения!$B$19</f>
        <v>37.5</v>
      </c>
      <c r="H7" s="11" t="n">
        <f aca="false">Допущения!$B$35/Допущения!$B$19</f>
        <v>37.5</v>
      </c>
      <c r="I7" s="11" t="n">
        <f aca="false">Допущения!$B$35/Допущения!$B$19</f>
        <v>37.5</v>
      </c>
      <c r="J7" s="11" t="n">
        <f aca="false">Допущения!$B$35/Допущения!$B$19</f>
        <v>37.5</v>
      </c>
      <c r="K7" s="11" t="n">
        <f aca="false">Допущения!$B$35/Допущения!$B$19</f>
        <v>37.5</v>
      </c>
      <c r="L7" s="11" t="n">
        <f aca="false">Допущения!$B$35/Допущения!$B$19</f>
        <v>37.5</v>
      </c>
      <c r="M7" s="11" t="n">
        <f aca="false">Допущения!$B$35/Допущения!$B$19</f>
        <v>37.5</v>
      </c>
      <c r="N7" s="11" t="n">
        <f aca="false">Допущения!$B$35/Допущения!$B$19</f>
        <v>37.5</v>
      </c>
      <c r="O7" s="11" t="n">
        <f aca="false">Допущения!$B$35/Допущения!$B$19</f>
        <v>37.5</v>
      </c>
      <c r="P7" s="11" t="n">
        <f aca="false">Допущения!$B$35/Допущения!$B$19</f>
        <v>37.5</v>
      </c>
      <c r="Q7" s="11" t="n">
        <f aca="false">Допущения!$B$35/Допущения!$B$19</f>
        <v>37.5</v>
      </c>
      <c r="R7" s="11" t="n">
        <f aca="false">Допущения!$B$35/Допущения!$B$19</f>
        <v>37.5</v>
      </c>
      <c r="S7" s="11" t="n">
        <f aca="false">Допущения!$B$35/Допущения!$B$19</f>
        <v>37.5</v>
      </c>
      <c r="T7" s="11" t="n">
        <f aca="false">Допущения!$B$35/Допущения!$B$19</f>
        <v>37.5</v>
      </c>
      <c r="U7" s="11" t="n">
        <f aca="false">Допущения!$B$35/Допущения!$B$19</f>
        <v>37.5</v>
      </c>
      <c r="V7" s="11" t="n">
        <f aca="false">Допущения!$B$35/Допущения!$B$19</f>
        <v>37.5</v>
      </c>
      <c r="W7" s="11" t="n">
        <f aca="false">Допущения!$B$35/Допущения!$B$19</f>
        <v>37.5</v>
      </c>
      <c r="X7" s="11" t="n">
        <f aca="false">Допущения!$B$35/Допущения!$B$19</f>
        <v>37.5</v>
      </c>
      <c r="Y7" s="11" t="n">
        <f aca="false">Допущения!$B$35/Допущения!$B$19</f>
        <v>37.5</v>
      </c>
      <c r="Z7" s="8" t="s">
        <v>227</v>
      </c>
    </row>
    <row r="8" customFormat="false" ht="32.8" hidden="false" customHeight="false" outlineLevel="0" collapsed="false">
      <c r="A8" s="17" t="s">
        <v>228</v>
      </c>
      <c r="B8" s="11" t="n">
        <f aca="false">ROUND((B6+B7)*1,0)</f>
        <v>63</v>
      </c>
      <c r="C8" s="11" t="n">
        <f aca="false">ROUND((C6+C7)*MAX(0,1-B5/Допущения!$B$15),0)</f>
        <v>65</v>
      </c>
      <c r="D8" s="11" t="n">
        <f aca="false">ROUND((D6+D7)*MAX(0,1-C5/Допущения!$B$15),0)</f>
        <v>67</v>
      </c>
      <c r="E8" s="11" t="n">
        <f aca="false">ROUND((E6+E7)*MAX(0,1-D5/Допущения!$B$15),0)</f>
        <v>70</v>
      </c>
      <c r="F8" s="11" t="n">
        <f aca="false">ROUND((F6+F7)*MAX(0,1-E5/Допущения!$B$15),0)</f>
        <v>73</v>
      </c>
      <c r="G8" s="11" t="n">
        <f aca="false">ROUND((G6+G7)*MAX(0,1-F5/Допущения!$B$15),0)</f>
        <v>77</v>
      </c>
      <c r="H8" s="11" t="n">
        <f aca="false">ROUND((H6+H7)*MAX(0,1-G5/Допущения!$B$15),0)</f>
        <v>80</v>
      </c>
      <c r="I8" s="11" t="n">
        <f aca="false">ROUND((I6+I7)*MAX(0,1-H5/Допущения!$B$15),0)</f>
        <v>85</v>
      </c>
      <c r="J8" s="11" t="n">
        <f aca="false">ROUND((J6+J7)*MAX(0,1-I5/Допущения!$B$15),0)</f>
        <v>89</v>
      </c>
      <c r="K8" s="11" t="n">
        <f aca="false">ROUND((K6+K7)*MAX(0,1-J5/Допущения!$B$15),0)</f>
        <v>94</v>
      </c>
      <c r="L8" s="11" t="n">
        <f aca="false">ROUND((L6+L7)*MAX(0,1-K5/Допущения!$B$15),0)</f>
        <v>99</v>
      </c>
      <c r="M8" s="11" t="n">
        <f aca="false">ROUND((M6+M7)*MAX(0,1-L5/Допущения!$B$15),0)</f>
        <v>105</v>
      </c>
      <c r="N8" s="11" t="n">
        <f aca="false">ROUND((N6+N7)*MAX(0,1-M5/Допущения!$B$15),0)</f>
        <v>111</v>
      </c>
      <c r="O8" s="11" t="n">
        <f aca="false">ROUND((O6+O7)*MAX(0,1-N5/Допущения!$B$15),0)</f>
        <v>118</v>
      </c>
      <c r="P8" s="11" t="n">
        <f aca="false">ROUND((P6+P7)*MAX(0,1-O5/Допущения!$B$15),0)</f>
        <v>126</v>
      </c>
      <c r="Q8" s="11" t="n">
        <f aca="false">ROUND((Q6+Q7)*MAX(0,1-P5/Допущения!$B$15),0)</f>
        <v>134</v>
      </c>
      <c r="R8" s="11" t="n">
        <f aca="false">ROUND((R6+R7)*MAX(0,1-Q5/Допущения!$B$15),0)</f>
        <v>144</v>
      </c>
      <c r="S8" s="11" t="n">
        <f aca="false">ROUND((S6+S7)*MAX(0,1-R5/Допущения!$B$15),0)</f>
        <v>153</v>
      </c>
      <c r="T8" s="11" t="n">
        <f aca="false">ROUND((T6+T7)*MAX(0,1-S5/Допущения!$B$15),0)</f>
        <v>164</v>
      </c>
      <c r="U8" s="11" t="n">
        <f aca="false">ROUND((U6+U7)*MAX(0,1-T5/Допущения!$B$15),0)</f>
        <v>176</v>
      </c>
      <c r="V8" s="11" t="n">
        <f aca="false">ROUND((V6+V7)*MAX(0,1-U5/Допущения!$B$15),0)</f>
        <v>188</v>
      </c>
      <c r="W8" s="11" t="n">
        <f aca="false">ROUND((W6+W7)*MAX(0,1-V5/Допущения!$B$15),0)</f>
        <v>202</v>
      </c>
      <c r="X8" s="11" t="n">
        <f aca="false">ROUND((X6+X7)*MAX(0,1-W5/Допущения!$B$15),0)</f>
        <v>217</v>
      </c>
      <c r="Y8" s="11" t="n">
        <f aca="false">ROUND((Y6+Y7)*MAX(0,1-X5/Допущения!$B$15),0)</f>
        <v>233</v>
      </c>
      <c r="Z8" s="8" t="s">
        <v>229</v>
      </c>
    </row>
    <row r="9" customFormat="false" ht="15" hidden="false" customHeight="false" outlineLevel="0" collapsed="false">
      <c r="A9" s="17" t="s">
        <v>230</v>
      </c>
      <c r="B9" s="11" t="n">
        <f aca="false">IF(COLUMN()-1-Допущения!$B$21&lt;1,0,IFERROR(ROUND(INDEX($B$8:$Y$8,1,COLUMN()-1-Допущения!$B$21)*Допущения!$B$20,0),0))</f>
        <v>0</v>
      </c>
      <c r="C9" s="11" t="n">
        <f aca="false">IF(COLUMN()-1-Допущения!$B$21&lt;1,0,IFERROR(ROUND(INDEX($B$8:$Y$8,1,COLUMN()-1-Допущения!$B$21)*Допущения!$B$20,0),0))</f>
        <v>0</v>
      </c>
      <c r="D9" s="11" t="n">
        <f aca="false">IF(COLUMN()-1-Допущения!$B$21&lt;1,0,IFERROR(ROUND(INDEX($B$8:$Y$8,1,COLUMN()-1-Допущения!$B$21)*Допущения!$B$20,0),0))</f>
        <v>6</v>
      </c>
      <c r="E9" s="11" t="n">
        <f aca="false">IF(COLUMN()-1-Допущения!$B$21&lt;1,0,IFERROR(ROUND(INDEX($B$8:$Y$8,1,COLUMN()-1-Допущения!$B$21)*Допущения!$B$20,0),0))</f>
        <v>6</v>
      </c>
      <c r="F9" s="11" t="n">
        <f aca="false">IF(COLUMN()-1-Допущения!$B$21&lt;1,0,IFERROR(ROUND(INDEX($B$8:$Y$8,1,COLUMN()-1-Допущения!$B$21)*Допущения!$B$20,0),0))</f>
        <v>6</v>
      </c>
      <c r="G9" s="11" t="n">
        <f aca="false">IF(COLUMN()-1-Допущения!$B$21&lt;1,0,IFERROR(ROUND(INDEX($B$8:$Y$8,1,COLUMN()-1-Допущения!$B$21)*Допущения!$B$20,0),0))</f>
        <v>6</v>
      </c>
      <c r="H9" s="11" t="n">
        <f aca="false">IF(COLUMN()-1-Допущения!$B$21&lt;1,0,IFERROR(ROUND(INDEX($B$8:$Y$8,1,COLUMN()-1-Допущения!$B$21)*Допущения!$B$20,0),0))</f>
        <v>7</v>
      </c>
      <c r="I9" s="11" t="n">
        <f aca="false">IF(COLUMN()-1-Допущения!$B$21&lt;1,0,IFERROR(ROUND(INDEX($B$8:$Y$8,1,COLUMN()-1-Допущения!$B$21)*Допущения!$B$20,0),0))</f>
        <v>7</v>
      </c>
      <c r="J9" s="11" t="n">
        <f aca="false">IF(COLUMN()-1-Допущения!$B$21&lt;1,0,IFERROR(ROUND(INDEX($B$8:$Y$8,1,COLUMN()-1-Допущения!$B$21)*Допущения!$B$20,0),0))</f>
        <v>7</v>
      </c>
      <c r="K9" s="11" t="n">
        <f aca="false">IF(COLUMN()-1-Допущения!$B$21&lt;1,0,IFERROR(ROUND(INDEX($B$8:$Y$8,1,COLUMN()-1-Допущения!$B$21)*Допущения!$B$20,0),0))</f>
        <v>8</v>
      </c>
      <c r="L9" s="11" t="n">
        <f aca="false">IF(COLUMN()-1-Допущения!$B$21&lt;1,0,IFERROR(ROUND(INDEX($B$8:$Y$8,1,COLUMN()-1-Допущения!$B$21)*Допущения!$B$20,0),0))</f>
        <v>8</v>
      </c>
      <c r="M9" s="11" t="n">
        <f aca="false">IF(COLUMN()-1-Допущения!$B$21&lt;1,0,IFERROR(ROUND(INDEX($B$8:$Y$8,1,COLUMN()-1-Допущения!$B$21)*Допущения!$B$20,0),0))</f>
        <v>8</v>
      </c>
      <c r="N9" s="11" t="n">
        <f aca="false">IF(COLUMN()-1-Допущения!$B$21&lt;1,0,IFERROR(ROUND(INDEX($B$8:$Y$8,1,COLUMN()-1-Допущения!$B$21)*Допущения!$B$20,0),0))</f>
        <v>9</v>
      </c>
      <c r="O9" s="11" t="n">
        <f aca="false">IF(COLUMN()-1-Допущения!$B$21&lt;1,0,IFERROR(ROUND(INDEX($B$8:$Y$8,1,COLUMN()-1-Допущения!$B$21)*Допущения!$B$20,0),0))</f>
        <v>9</v>
      </c>
      <c r="P9" s="11" t="n">
        <f aca="false">IF(COLUMN()-1-Допущения!$B$21&lt;1,0,IFERROR(ROUND(INDEX($B$8:$Y$8,1,COLUMN()-1-Допущения!$B$21)*Допущения!$B$20,0),0))</f>
        <v>10</v>
      </c>
      <c r="Q9" s="11" t="n">
        <f aca="false">IF(COLUMN()-1-Допущения!$B$21&lt;1,0,IFERROR(ROUND(INDEX($B$8:$Y$8,1,COLUMN()-1-Допущения!$B$21)*Допущения!$B$20,0),0))</f>
        <v>11</v>
      </c>
      <c r="R9" s="11" t="n">
        <f aca="false">IF(COLUMN()-1-Допущения!$B$21&lt;1,0,IFERROR(ROUND(INDEX($B$8:$Y$8,1,COLUMN()-1-Допущения!$B$21)*Допущения!$B$20,0),0))</f>
        <v>11</v>
      </c>
      <c r="S9" s="11" t="n">
        <f aca="false">IF(COLUMN()-1-Допущения!$B$21&lt;1,0,IFERROR(ROUND(INDEX($B$8:$Y$8,1,COLUMN()-1-Допущения!$B$21)*Допущения!$B$20,0),0))</f>
        <v>12</v>
      </c>
      <c r="T9" s="11" t="n">
        <f aca="false">IF(COLUMN()-1-Допущения!$B$21&lt;1,0,IFERROR(ROUND(INDEX($B$8:$Y$8,1,COLUMN()-1-Допущения!$B$21)*Допущения!$B$20,0),0))</f>
        <v>13</v>
      </c>
      <c r="U9" s="11" t="n">
        <f aca="false">IF(COLUMN()-1-Допущения!$B$21&lt;1,0,IFERROR(ROUND(INDEX($B$8:$Y$8,1,COLUMN()-1-Допущения!$B$21)*Допущения!$B$20,0),0))</f>
        <v>14</v>
      </c>
      <c r="V9" s="11" t="n">
        <f aca="false">IF(COLUMN()-1-Допущения!$B$21&lt;1,0,IFERROR(ROUND(INDEX($B$8:$Y$8,1,COLUMN()-1-Допущения!$B$21)*Допущения!$B$20,0),0))</f>
        <v>15</v>
      </c>
      <c r="W9" s="11" t="n">
        <f aca="false">IF(COLUMN()-1-Допущения!$B$21&lt;1,0,IFERROR(ROUND(INDEX($B$8:$Y$8,1,COLUMN()-1-Допущения!$B$21)*Допущения!$B$20,0),0))</f>
        <v>16</v>
      </c>
      <c r="X9" s="11" t="n">
        <f aca="false">IF(COLUMN()-1-Допущения!$B$21&lt;1,0,IFERROR(ROUND(INDEX($B$8:$Y$8,1,COLUMN()-1-Допущения!$B$21)*Допущения!$B$20,0),0))</f>
        <v>17</v>
      </c>
      <c r="Y9" s="11" t="n">
        <f aca="false">IF(COLUMN()-1-Допущения!$B$21&lt;1,0,IFERROR(ROUND(INDEX($B$8:$Y$8,1,COLUMN()-1-Допущения!$B$21)*Допущения!$B$20,0),0))</f>
        <v>18</v>
      </c>
      <c r="Z9" s="8" t="s">
        <v>231</v>
      </c>
    </row>
    <row r="10" customFormat="false" ht="22.35" hidden="false" customHeight="false" outlineLevel="0" collapsed="false">
      <c r="A10" s="17" t="s">
        <v>232</v>
      </c>
      <c r="B10" s="11" t="n">
        <f aca="false">MIN(Допущения!$B$56+B9,Допущения!$B$15*Допущения!$B$16)</f>
        <v>0</v>
      </c>
      <c r="C10" s="11" t="n">
        <f aca="false">MIN(B10*(1-Допущения!$B$12*(1-Допущения!$B$10*1/24))+C9,Допущения!$B$15*Допущения!$B$16)</f>
        <v>0</v>
      </c>
      <c r="D10" s="11" t="n">
        <f aca="false">MIN(C10*(1-Допущения!$B$12*(1-Допущения!$B$10*2/24))+D9,Допущения!$B$15*Допущения!$B$16)</f>
        <v>6</v>
      </c>
      <c r="E10" s="11" t="n">
        <f aca="false">MIN(D10*(1-Допущения!$B$12*(1-Допущения!$B$10*3/24))+E9,Допущения!$B$15*Допущения!$B$16)</f>
        <v>11.3565</v>
      </c>
      <c r="F10" s="11" t="n">
        <f aca="false">MIN(E10*(1-Допущения!$B$12*(1-Допущения!$B$10*4/24))+F9,Допущения!$B$15*Допущения!$B$16)</f>
        <v>16.1489255</v>
      </c>
      <c r="G10" s="11" t="n">
        <f aca="false">MIN(F10*(1-Допущения!$B$12*(1-Допущения!$B$10*5/24))+G9,Допущения!$B$15*Допущения!$B$16)</f>
        <v>20.4465596035417</v>
      </c>
      <c r="H10" s="11" t="n">
        <f aca="false">MIN(G10*(1-Допущения!$B$12*(1-Допущения!$B$10*6/24))+H9,Допущения!$B$15*Допущения!$B$16)</f>
        <v>25.3098941249716</v>
      </c>
      <c r="I10" s="11" t="n">
        <f aca="false">MIN(H10*(1-Допущения!$B$12*(1-Допущения!$B$10*7/24))+I9,Допущения!$B$15*Допущения!$B$16)</f>
        <v>29.6882109251933</v>
      </c>
      <c r="J10" s="11" t="n">
        <f aca="false">MIN(I10*(1-Допущения!$B$12*(1-Допущения!$B$10*8/24))+J9,Допущения!$B$15*Допущения!$B$16)</f>
        <v>33.6402212702068</v>
      </c>
      <c r="K10" s="11" t="n">
        <f aca="false">MIN(J10*(1-Допущения!$B$12*(1-Допущения!$B$10*9/24))+K9,Допущения!$B$15*Допущения!$B$16)</f>
        <v>38.2173287559632</v>
      </c>
      <c r="L10" s="11" t="n">
        <f aca="false">MIN(K10*(1-Допущения!$B$12*(1-Допущения!$B$10*10/24))+L9,Допущения!$B$15*Допущения!$B$16)</f>
        <v>42.3637481064036</v>
      </c>
      <c r="M10" s="11" t="n">
        <f aca="false">MIN(L10*(1-Допущения!$B$12*(1-Допущения!$B$10*11/24))+M9,Допущения!$B$15*Допущения!$B$16)</f>
        <v>46.1309036081054</v>
      </c>
      <c r="N10" s="11" t="n">
        <f aca="false">MIN(M10*(1-Допущения!$B$12*(1-Допущения!$B$10*12/24))+N9,Допущения!$B$15*Допущения!$B$16)</f>
        <v>50.563944150903</v>
      </c>
      <c r="O10" s="11" t="n">
        <f aca="false">MIN(N10*(1-Допущения!$B$12*(1-Допущения!$B$10*13/24))+O9,Допущения!$B$15*Допущения!$B$16)</f>
        <v>54.6044639621019</v>
      </c>
      <c r="P10" s="11" t="n">
        <f aca="false">MIN(O10*(1-Допущения!$B$12*(1-Допущения!$B$10*14/24))+P9,Допущения!$B$15*Допущения!$B$16)</f>
        <v>59.2987302137844</v>
      </c>
      <c r="Q10" s="11" t="n">
        <f aca="false">MIN(P10*(1-Допущения!$B$12*(1-Допущения!$B$10*15/24))+Q9,Допущения!$B$15*Допущения!$B$16)</f>
        <v>64.5912274307076</v>
      </c>
      <c r="R10" s="11" t="n">
        <f aca="false">MIN(Q10*(1-Допущения!$B$12*(1-Допущения!$B$10*16/24))+R9,Допущения!$B$15*Допущения!$B$16)</f>
        <v>69.4335304156468</v>
      </c>
      <c r="S10" s="11" t="n">
        <f aca="false">MIN(R10*(1-Допущения!$B$12*(1-Допущения!$B$10*17/24))+S9,Допущения!$B$15*Допущения!$B$16)</f>
        <v>74.8778479189028</v>
      </c>
      <c r="T10" s="11" t="n">
        <f aca="false">MIN(S10*(1-Допущения!$B$12*(1-Допущения!$B$10*18/24))+T9,Допущения!$B$15*Допущения!$B$16)</f>
        <v>80.8767691384854</v>
      </c>
      <c r="U10" s="11" t="n">
        <f aca="false">MIN(T10*(1-Допущения!$B$12*(1-Допущения!$B$10*19/24))+U9,Допущения!$B$15*Допущения!$B$16)</f>
        <v>87.388928262414</v>
      </c>
      <c r="V10" s="11" t="n">
        <f aca="false">MIN(U10*(1-Допущения!$B$12*(1-Допущения!$B$10*20/24))+V9,Допущения!$B$15*Допущения!$B$16)</f>
        <v>94.378276505026</v>
      </c>
      <c r="W10" s="11" t="n">
        <f aca="false">MIN(V10*(1-Допущения!$B$12*(1-Допущения!$B$10*21/24))+W9,Допущения!$B$15*Допущения!$B$16)</f>
        <v>101.813447912195</v>
      </c>
      <c r="X10" s="11" t="n">
        <f aca="false">MIN(W10*(1-Допущения!$B$12*(1-Допущения!$B$10*22/24))+X9,Допущения!$B$15*Допущения!$B$16)</f>
        <v>109.667206508083</v>
      </c>
      <c r="Y10" s="11" t="n">
        <f aca="false">MIN(X10*(1-Допущения!$B$12*(1-Допущения!$B$10*23/24))+Y9,Допущения!$B$15*Допущения!$B$16)</f>
        <v>117.915964062739</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B10*(Допущения!$B$8*(1-Допущения!$B$10*0/24)+Допущения!$B$9/12*Допущения!$B$10*0/24)</f>
        <v>0</v>
      </c>
      <c r="C12" s="7" t="n">
        <f aca="false">C10*(Допущения!$B$8*(1-Допущения!$B$10*1/24)+Допущения!$B$9/12*Допущения!$B$10*1/24)</f>
        <v>0</v>
      </c>
      <c r="D12" s="7" t="n">
        <f aca="false">D10*(Допущения!$B$8*(1-Допущения!$B$10*2/24)+Допущения!$B$9/12*Допущения!$B$10*2/24)</f>
        <v>4726.83333333333</v>
      </c>
      <c r="E12" s="7" t="n">
        <f aca="false">E10*(Допущения!$B$8*(1-Допущения!$B$10*3/24)+Допущения!$B$9/12*Допущения!$B$10*3/24)</f>
        <v>8934.2531875</v>
      </c>
      <c r="F12" s="7" t="n">
        <f aca="false">F10*(Допущения!$B$8*(1-Допущения!$B$10*4/24)+Допущения!$B$9/12*Допущения!$B$10*4/24)</f>
        <v>12686.7753053056</v>
      </c>
      <c r="G12" s="7" t="n">
        <f aca="false">G10*(Допущения!$B$8*(1-Допущения!$B$10*5/24)+Допущения!$B$9/12*Допущения!$B$10*5/24)</f>
        <v>16040.6099889729</v>
      </c>
      <c r="H12" s="7" t="n">
        <f aca="false">H10*(Допущения!$B$8*(1-Допущения!$B$10*6/24)+Допущения!$B$9/12*Допущения!$B$10*6/24)</f>
        <v>19828.1928890715</v>
      </c>
      <c r="I12" s="7" t="n">
        <f aca="false">I10*(Допущения!$B$8*(1-Допущения!$B$10*7/24)+Допущения!$B$9/12*Допущения!$B$10*7/24)</f>
        <v>23225.6646775467</v>
      </c>
      <c r="J12" s="7" t="n">
        <f aca="false">J10*(Допущения!$B$8*(1-Допущения!$B$10*8/24)+Допущения!$B$9/12*Допущения!$B$10*8/24)</f>
        <v>26280.4884167582</v>
      </c>
      <c r="K12" s="7" t="n">
        <f aca="false">K10*(Допущения!$B$8*(1-Допущения!$B$10*9/24)+Допущения!$B$9/12*Допущения!$B$10*9/24)</f>
        <v>29814.2935957458</v>
      </c>
      <c r="L12" s="7" t="n">
        <f aca="false">L10*(Допущения!$B$8*(1-Допущения!$B$10*10/24)+Допущения!$B$9/12*Допущения!$B$10*10/24)</f>
        <v>33002.5365456691</v>
      </c>
      <c r="M12" s="7" t="n">
        <f aca="false">M10*(Допущения!$B$8*(1-Допущения!$B$10*11/24)+Допущения!$B$9/12*Допущения!$B$10*11/24)</f>
        <v>35886.6394721333</v>
      </c>
      <c r="N12" s="7" t="n">
        <f aca="false">N10*(Допущения!$B$8*(1-Допущения!$B$10*12/24)+Допущения!$B$9/12*Допущения!$B$10*12/24)</f>
        <v>39279.7572812265</v>
      </c>
      <c r="O12" s="7" t="n">
        <f aca="false">O10*(Допущения!$B$8*(1-Допущения!$B$10*13/24)+Допущения!$B$9/12*Допущения!$B$10*13/24)</f>
        <v>42358.6545232678</v>
      </c>
      <c r="P12" s="7" t="n">
        <f aca="false">P10*(Допущения!$B$8*(1-Допущения!$B$10*14/24)+Допущения!$B$9/12*Допущения!$B$10*14/24)</f>
        <v>45935.1024853279</v>
      </c>
      <c r="Q12" s="7" t="n">
        <f aca="false">Q10*(Допущения!$B$8*(1-Допущения!$B$10*15/24)+Допущения!$B$9/12*Допущения!$B$10*15/24)</f>
        <v>49964.0057187953</v>
      </c>
      <c r="R12" s="7" t="n">
        <f aca="false">R10*(Допущения!$B$8*(1-Допущения!$B$10*16/24)+Допущения!$B$9/12*Допущения!$B$10*16/24)</f>
        <v>53633.5448277308</v>
      </c>
      <c r="S12" s="7" t="n">
        <f aca="false">S10*(Допущения!$B$8*(1-Допущения!$B$10*17/24)+Допущения!$B$9/12*Допущения!$B$10*17/24)</f>
        <v>57756.8199982237</v>
      </c>
      <c r="T12" s="7" t="n">
        <f aca="false">T10*(Допущения!$B$8*(1-Допущения!$B$10*18/24)+Допущения!$B$9/12*Допущения!$B$10*18/24)</f>
        <v>62295.3314289184</v>
      </c>
      <c r="U12" s="7" t="n">
        <f aca="false">U10*(Допущения!$B$8*(1-Допущения!$B$10*19/24)+Допущения!$B$9/12*Допущения!$B$10*19/24)</f>
        <v>67215.4369200587</v>
      </c>
      <c r="V12" s="7" t="n">
        <f aca="false">V10*(Допущения!$B$8*(1-Допущения!$B$10*20/24)+Допущения!$B$9/12*Допущения!$B$10*20/24)</f>
        <v>72487.7595934436</v>
      </c>
      <c r="W12" s="7" t="n">
        <f aca="false">W10*(Допущения!$B$8*(1-Допущения!$B$10*21/24)+Допущения!$B$9/12*Допущения!$B$10*21/24)</f>
        <v>78086.6723216572</v>
      </c>
      <c r="X12" s="7" t="n">
        <f aca="false">X10*(Допущения!$B$8*(1-Допущения!$B$10*22/24)+Допущения!$B$9/12*Допущения!$B$10*22/24)</f>
        <v>83989.8486287319</v>
      </c>
      <c r="Y12" s="7" t="n">
        <f aca="false">Y10*(Допущения!$B$8*(1-Допущения!$B$10*23/24)+Допущения!$B$9/12*Допущения!$B$10*23/24)</f>
        <v>90177.8712387028</v>
      </c>
      <c r="Z12" s="8" t="s">
        <v>236</v>
      </c>
    </row>
    <row r="13" customFormat="false" ht="15" hidden="false" customHeight="false" outlineLevel="0" collapsed="false">
      <c r="A13" s="17" t="s">
        <v>237</v>
      </c>
      <c r="B13" s="7" t="n">
        <f aca="false">B9*Допущения!$B$10*0/24*Допущения!$B$9</f>
        <v>0</v>
      </c>
      <c r="C13" s="7" t="n">
        <f aca="false">C9*Допущения!$B$10*1/24*Допущения!$B$9</f>
        <v>0</v>
      </c>
      <c r="D13" s="7" t="n">
        <f aca="false">D9*Допущения!$B$10*2/24*Допущения!$B$9</f>
        <v>790</v>
      </c>
      <c r="E13" s="7" t="n">
        <f aca="false">E9*Допущения!$B$10*3/24*Допущения!$B$9</f>
        <v>1185</v>
      </c>
      <c r="F13" s="7" t="n">
        <f aca="false">F9*Допущения!$B$10*4/24*Допущения!$B$9</f>
        <v>1580</v>
      </c>
      <c r="G13" s="7" t="n">
        <f aca="false">G9*Допущения!$B$10*5/24*Допущения!$B$9</f>
        <v>1975</v>
      </c>
      <c r="H13" s="7" t="n">
        <f aca="false">H9*Допущения!$B$10*6/24*Допущения!$B$9</f>
        <v>2765</v>
      </c>
      <c r="I13" s="7" t="n">
        <f aca="false">I9*Допущения!$B$10*7/24*Допущения!$B$9</f>
        <v>3225.83333333333</v>
      </c>
      <c r="J13" s="7" t="n">
        <f aca="false">J9*Допущения!$B$10*8/24*Допущения!$B$9</f>
        <v>3686.66666666667</v>
      </c>
      <c r="K13" s="7" t="n">
        <f aca="false">K9*Допущения!$B$10*9/24*Допущения!$B$9</f>
        <v>4740</v>
      </c>
      <c r="L13" s="7" t="n">
        <f aca="false">L9*Допущения!$B$10*10/24*Допущения!$B$9</f>
        <v>5266.66666666667</v>
      </c>
      <c r="M13" s="7" t="n">
        <f aca="false">M9*Допущения!$B$10*11/24*Допущения!$B$9</f>
        <v>5793.33333333333</v>
      </c>
      <c r="N13" s="7" t="n">
        <f aca="false">N9*Допущения!$B$10*12/24*Допущения!$B$9</f>
        <v>7110</v>
      </c>
      <c r="O13" s="7" t="n">
        <f aca="false">O9*Допущения!$B$10*13/24*Допущения!$B$9</f>
        <v>7702.5</v>
      </c>
      <c r="P13" s="7" t="n">
        <f aca="false">P9*Допущения!$B$10*14/24*Допущения!$B$9</f>
        <v>9216.66666666667</v>
      </c>
      <c r="Q13" s="7" t="n">
        <f aca="false">Q9*Допущения!$B$10*15/24*Допущения!$B$9</f>
        <v>10862.5</v>
      </c>
      <c r="R13" s="7" t="n">
        <f aca="false">R9*Допущения!$B$10*16/24*Допущения!$B$9</f>
        <v>11586.6666666667</v>
      </c>
      <c r="S13" s="7" t="n">
        <f aca="false">S9*Допущения!$B$10*17/24*Допущения!$B$9</f>
        <v>13430</v>
      </c>
      <c r="T13" s="7" t="n">
        <f aca="false">T9*Допущения!$B$10*18/24*Допущения!$B$9</f>
        <v>15405</v>
      </c>
      <c r="U13" s="7" t="n">
        <f aca="false">U9*Допущения!$B$10*19/24*Допущения!$B$9</f>
        <v>17511.6666666667</v>
      </c>
      <c r="V13" s="7" t="n">
        <f aca="false">V9*Допущения!$B$10*20/24*Допущения!$B$9</f>
        <v>19750</v>
      </c>
      <c r="W13" s="7" t="n">
        <f aca="false">W9*Допущения!$B$10*21/24*Допущения!$B$9</f>
        <v>22120</v>
      </c>
      <c r="X13" s="7" t="n">
        <f aca="false">X9*Допущения!$B$10*22/24*Допущения!$B$9</f>
        <v>24621.6666666667</v>
      </c>
      <c r="Y13" s="7" t="n">
        <f aca="false">Y9*Допущения!$B$10*23/24*Допущения!$B$9</f>
        <v>27255</v>
      </c>
      <c r="Z13" s="8" t="s">
        <v>238</v>
      </c>
    </row>
    <row r="14" customFormat="false" ht="15" hidden="false" customHeight="false" outlineLevel="0" collapsed="false">
      <c r="A14" s="17" t="s">
        <v>239</v>
      </c>
      <c r="B14" s="7" t="n">
        <f aca="false">B12+B13-B9*Допущения!$B$10*0/24*Допущения!$B$9/12</f>
        <v>0</v>
      </c>
      <c r="C14" s="7" t="n">
        <f aca="false">C12+C13-C9*Допущения!$B$10*1/24*Допущения!$B$9/12</f>
        <v>0</v>
      </c>
      <c r="D14" s="7" t="n">
        <f aca="false">D12+D13-D9*Допущения!$B$10*2/24*Допущения!$B$9/12</f>
        <v>5451</v>
      </c>
      <c r="E14" s="7" t="n">
        <f aca="false">E12+E13-E9*Допущения!$B$10*3/24*Допущения!$B$9/12</f>
        <v>10020.5031875</v>
      </c>
      <c r="F14" s="7" t="n">
        <f aca="false">F12+F13-F9*Допущения!$B$10*4/24*Допущения!$B$9/12</f>
        <v>14135.1086386389</v>
      </c>
      <c r="G14" s="7" t="n">
        <f aca="false">G12+G13-G9*Допущения!$B$10*5/24*Допущения!$B$9/12</f>
        <v>17851.0266556396</v>
      </c>
      <c r="H14" s="7" t="n">
        <f aca="false">H12+H13-H9*Допущения!$B$10*6/24*Допущения!$B$9/12</f>
        <v>22362.7762224048</v>
      </c>
      <c r="I14" s="7" t="n">
        <f aca="false">I12+I13-I9*Допущения!$B$10*7/24*Допущения!$B$9/12</f>
        <v>26182.6785664356</v>
      </c>
      <c r="J14" s="7" t="n">
        <f aca="false">J12+J13-J9*Допущения!$B$10*8/24*Допущения!$B$9/12</f>
        <v>29659.9328612026</v>
      </c>
      <c r="K14" s="7" t="n">
        <f aca="false">K12+K13-K9*Допущения!$B$10*9/24*Допущения!$B$9/12</f>
        <v>34159.2935957458</v>
      </c>
      <c r="L14" s="7" t="n">
        <f aca="false">L12+L13-L9*Допущения!$B$10*10/24*Допущения!$B$9/12</f>
        <v>37830.3143234469</v>
      </c>
      <c r="M14" s="7" t="n">
        <f aca="false">M12+M13-M9*Допущения!$B$10*11/24*Допущения!$B$9/12</f>
        <v>41197.1950276888</v>
      </c>
      <c r="N14" s="7" t="n">
        <f aca="false">N12+N13-N9*Допущения!$B$10*12/24*Допущения!$B$9/12</f>
        <v>45797.2572812265</v>
      </c>
      <c r="O14" s="7" t="n">
        <f aca="false">O12+O13-O9*Допущения!$B$10*13/24*Допущения!$B$9/12</f>
        <v>49419.2795232678</v>
      </c>
      <c r="P14" s="7" t="n">
        <f aca="false">P12+P13-P9*Допущения!$B$10*14/24*Допущения!$B$9/12</f>
        <v>54383.713596439</v>
      </c>
      <c r="Q14" s="7" t="n">
        <f aca="false">Q12+Q13-Q9*Допущения!$B$10*15/24*Допущения!$B$9/12</f>
        <v>59921.297385462</v>
      </c>
      <c r="R14" s="7" t="n">
        <f aca="false">R12+R13-R9*Допущения!$B$10*16/24*Допущения!$B$9/12</f>
        <v>64254.6559388419</v>
      </c>
      <c r="S14" s="7" t="n">
        <f aca="false">S12+S13-S9*Допущения!$B$10*17/24*Допущения!$B$9/12</f>
        <v>70067.653331557</v>
      </c>
      <c r="T14" s="7" t="n">
        <f aca="false">T12+T13-T9*Допущения!$B$10*18/24*Допущения!$B$9/12</f>
        <v>76416.5814289184</v>
      </c>
      <c r="U14" s="7" t="n">
        <f aca="false">U12+U13-U9*Допущения!$B$10*19/24*Допущения!$B$9/12</f>
        <v>83267.7980311698</v>
      </c>
      <c r="V14" s="7" t="n">
        <f aca="false">V12+V13-V9*Допущения!$B$10*20/24*Допущения!$B$9/12</f>
        <v>90591.9262601103</v>
      </c>
      <c r="W14" s="7" t="n">
        <f aca="false">W12+W13-W9*Допущения!$B$10*21/24*Допущения!$B$9/12</f>
        <v>98363.3389883238</v>
      </c>
      <c r="X14" s="7" t="n">
        <f aca="false">X12+X13-X9*Допущения!$B$10*22/24*Допущения!$B$9/12</f>
        <v>106559.709739843</v>
      </c>
      <c r="Y14" s="7" t="n">
        <f aca="false">Y12+Y13-Y9*Допущения!$B$10*23/24*Допущения!$B$9/12</f>
        <v>115161.621238703</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Допущения!$B$23</f>
        <v>5300</v>
      </c>
      <c r="C16" s="7" t="n">
        <f aca="false">Допущения!$B$23</f>
        <v>5300</v>
      </c>
      <c r="D16" s="7" t="n">
        <f aca="false">Допущения!$B$23</f>
        <v>5300</v>
      </c>
      <c r="E16" s="7" t="n">
        <f aca="false">Допущения!$B$23</f>
        <v>5300</v>
      </c>
      <c r="F16" s="7" t="n">
        <f aca="false">Допущения!$B$23</f>
        <v>5300</v>
      </c>
      <c r="G16" s="7" t="n">
        <f aca="false">Допущения!$B$23</f>
        <v>5300</v>
      </c>
      <c r="H16" s="7" t="n">
        <f aca="false">Допущения!$B$23</f>
        <v>5300</v>
      </c>
      <c r="I16" s="7" t="n">
        <f aca="false">Допущения!$B$23</f>
        <v>5300</v>
      </c>
      <c r="J16" s="7" t="n">
        <f aca="false">Допущения!$B$23</f>
        <v>5300</v>
      </c>
      <c r="K16" s="7" t="n">
        <f aca="false">Допущения!$B$23</f>
        <v>5300</v>
      </c>
      <c r="L16" s="7" t="n">
        <f aca="false">Допущения!$B$23</f>
        <v>5300</v>
      </c>
      <c r="M16" s="7" t="n">
        <f aca="false">Допущения!$B$23</f>
        <v>5300</v>
      </c>
      <c r="N16" s="7" t="n">
        <f aca="false">Допущения!$B$23</f>
        <v>5300</v>
      </c>
      <c r="O16" s="7" t="n">
        <f aca="false">Допущения!$B$23</f>
        <v>5300</v>
      </c>
      <c r="P16" s="7" t="n">
        <f aca="false">Допущения!$B$23</f>
        <v>5300</v>
      </c>
      <c r="Q16" s="7" t="n">
        <f aca="false">Допущения!$B$23</f>
        <v>5300</v>
      </c>
      <c r="R16" s="7" t="n">
        <f aca="false">Допущения!$B$23</f>
        <v>5300</v>
      </c>
      <c r="S16" s="7" t="n">
        <f aca="false">Допущения!$B$23</f>
        <v>5300</v>
      </c>
      <c r="T16" s="7" t="n">
        <f aca="false">Допущения!$B$23</f>
        <v>5300</v>
      </c>
      <c r="U16" s="7" t="n">
        <f aca="false">Допущения!$B$23</f>
        <v>5300</v>
      </c>
      <c r="V16" s="7" t="n">
        <f aca="false">Допущения!$B$23</f>
        <v>5300</v>
      </c>
      <c r="W16" s="7" t="n">
        <f aca="false">Допущения!$B$23</f>
        <v>5300</v>
      </c>
      <c r="X16" s="7" t="n">
        <f aca="false">Допущения!$B$23</f>
        <v>5300</v>
      </c>
      <c r="Y16" s="7" t="n">
        <f aca="false">Допущения!$B$23</f>
        <v>5300</v>
      </c>
    </row>
    <row r="17" customFormat="false" ht="32.8" hidden="false" customHeight="false" outlineLevel="0" collapsed="false">
      <c r="A17" s="17" t="s">
        <v>242</v>
      </c>
      <c r="B17" s="7" t="n">
        <f aca="false">Допущения!$B$24+B10*Допущения!$B$28*Допущения!$B$29</f>
        <v>7000</v>
      </c>
      <c r="C17" s="7" t="n">
        <f aca="false">Допущения!$B$24+C10*Допущения!$B$28*Допущения!$B$29</f>
        <v>7000</v>
      </c>
      <c r="D17" s="7" t="n">
        <f aca="false">Допущения!$B$24+D10*Допущения!$B$28*Допущения!$B$29</f>
        <v>7115.2</v>
      </c>
      <c r="E17" s="7" t="n">
        <f aca="false">Допущения!$B$24+E10*Допущения!$B$28*Допущения!$B$29</f>
        <v>7218.0448</v>
      </c>
      <c r="F17" s="7" t="n">
        <f aca="false">Допущения!$B$24+F10*Допущения!$B$28*Допущения!$B$29</f>
        <v>7310.0593696</v>
      </c>
      <c r="G17" s="7" t="n">
        <f aca="false">Допущения!$B$24+G10*Допущения!$B$28*Допущения!$B$29</f>
        <v>7392.573944388</v>
      </c>
      <c r="H17" s="7" t="n">
        <f aca="false">Допущения!$B$24+H10*Допущения!$B$28*Допущения!$B$29</f>
        <v>7485.94996719945</v>
      </c>
      <c r="I17" s="7" t="n">
        <f aca="false">Допущения!$B$24+I10*Допущения!$B$28*Допущения!$B$29</f>
        <v>7570.01364976371</v>
      </c>
      <c r="J17" s="7" t="n">
        <f aca="false">Допущения!$B$24+J10*Допущения!$B$28*Допущения!$B$29</f>
        <v>7645.89224838797</v>
      </c>
      <c r="K17" s="7" t="n">
        <f aca="false">Допущения!$B$24+K10*Допущения!$B$28*Допущения!$B$29</f>
        <v>7733.77271211449</v>
      </c>
      <c r="L17" s="7" t="n">
        <f aca="false">Допущения!$B$24+L10*Допущения!$B$28*Допущения!$B$29</f>
        <v>7813.38396364295</v>
      </c>
      <c r="M17" s="7" t="n">
        <f aca="false">Допущения!$B$24+M10*Допущения!$B$28*Допущения!$B$29</f>
        <v>7885.71334927563</v>
      </c>
      <c r="N17" s="7" t="n">
        <f aca="false">Допущения!$B$24+N10*Допущения!$B$28*Допущения!$B$29</f>
        <v>7970.82772769734</v>
      </c>
      <c r="O17" s="7" t="n">
        <f aca="false">Допущения!$B$24+O10*Допущения!$B$28*Допущения!$B$29</f>
        <v>8048.40570807236</v>
      </c>
      <c r="P17" s="7" t="n">
        <f aca="false">Допущения!$B$24+P10*Допущения!$B$28*Допущения!$B$29</f>
        <v>8138.53562010466</v>
      </c>
      <c r="Q17" s="7" t="n">
        <f aca="false">Допущения!$B$24+Q10*Допущения!$B$28*Допущения!$B$29</f>
        <v>8240.15156666959</v>
      </c>
      <c r="R17" s="7" t="n">
        <f aca="false">Допущения!$B$24+R10*Допущения!$B$28*Допущения!$B$29</f>
        <v>8333.12378398042</v>
      </c>
      <c r="S17" s="7" t="n">
        <f aca="false">Допущения!$B$24+S10*Допущения!$B$28*Допущения!$B$29</f>
        <v>8437.65468004294</v>
      </c>
      <c r="T17" s="7" t="n">
        <f aca="false">Допущения!$B$24+T10*Допущения!$B$28*Допущения!$B$29</f>
        <v>8552.83396745892</v>
      </c>
      <c r="U17" s="7" t="n">
        <f aca="false">Допущения!$B$24+U10*Допущения!$B$28*Допущения!$B$29</f>
        <v>8677.86742263835</v>
      </c>
      <c r="V17" s="7" t="n">
        <f aca="false">Допущения!$B$24+V10*Допущения!$B$28*Допущения!$B$29</f>
        <v>8812.0629088965</v>
      </c>
      <c r="W17" s="7" t="n">
        <f aca="false">Допущения!$B$24+W10*Допущения!$B$28*Допущения!$B$29</f>
        <v>8954.81819991414</v>
      </c>
      <c r="X17" s="7" t="n">
        <f aca="false">Допущения!$B$24+X10*Допущения!$B$28*Допущения!$B$29</f>
        <v>9105.61036495519</v>
      </c>
      <c r="Y17" s="7" t="n">
        <f aca="false">Допущения!$B$24+Y10*Допущения!$B$28*Допущения!$B$29</f>
        <v>9263.98651000459</v>
      </c>
      <c r="Z17" s="8" t="s">
        <v>243</v>
      </c>
    </row>
    <row r="18" customFormat="false" ht="15" hidden="false" customHeight="false" outlineLevel="0" collapsed="false">
      <c r="A18" s="17" t="s">
        <v>133</v>
      </c>
      <c r="B18" s="7" t="n">
        <f aca="false">Допущения!$B$25</f>
        <v>20000</v>
      </c>
      <c r="C18" s="7" t="n">
        <f aca="false">Допущения!$B$25</f>
        <v>20000</v>
      </c>
      <c r="D18" s="7" t="n">
        <f aca="false">Допущения!$B$25</f>
        <v>20000</v>
      </c>
      <c r="E18" s="7" t="n">
        <f aca="false">Допущения!$B$25</f>
        <v>20000</v>
      </c>
      <c r="F18" s="7" t="n">
        <f aca="false">Допущения!$B$25</f>
        <v>20000</v>
      </c>
      <c r="G18" s="7" t="n">
        <f aca="false">Допущения!$B$25</f>
        <v>20000</v>
      </c>
      <c r="H18" s="7" t="n">
        <f aca="false">Допущения!$B$25</f>
        <v>20000</v>
      </c>
      <c r="I18" s="7" t="n">
        <f aca="false">Допущения!$B$25</f>
        <v>20000</v>
      </c>
      <c r="J18" s="7" t="n">
        <f aca="false">Допущения!$B$25</f>
        <v>20000</v>
      </c>
      <c r="K18" s="7" t="n">
        <f aca="false">Допущения!$B$25</f>
        <v>20000</v>
      </c>
      <c r="L18" s="7" t="n">
        <f aca="false">Допущения!$B$25</f>
        <v>20000</v>
      </c>
      <c r="M18" s="7" t="n">
        <f aca="false">Допущения!$B$25</f>
        <v>20000</v>
      </c>
      <c r="N18" s="7" t="n">
        <f aca="false">Допущения!$B$25</f>
        <v>20000</v>
      </c>
      <c r="O18" s="7" t="n">
        <f aca="false">Допущения!$B$25</f>
        <v>20000</v>
      </c>
      <c r="P18" s="7" t="n">
        <f aca="false">Допущения!$B$25</f>
        <v>20000</v>
      </c>
      <c r="Q18" s="7" t="n">
        <f aca="false">Допущения!$B$25</f>
        <v>20000</v>
      </c>
      <c r="R18" s="7" t="n">
        <f aca="false">Допущения!$B$25</f>
        <v>20000</v>
      </c>
      <c r="S18" s="7" t="n">
        <f aca="false">Допущения!$B$25</f>
        <v>20000</v>
      </c>
      <c r="T18" s="7" t="n">
        <f aca="false">Допущения!$B$25</f>
        <v>20000</v>
      </c>
      <c r="U18" s="7" t="n">
        <f aca="false">Допущения!$B$25</f>
        <v>20000</v>
      </c>
      <c r="V18" s="7" t="n">
        <f aca="false">Допущения!$B$25</f>
        <v>20000</v>
      </c>
      <c r="W18" s="7" t="n">
        <f aca="false">Допущения!$B$25</f>
        <v>20000</v>
      </c>
      <c r="X18" s="7" t="n">
        <f aca="false">Допущения!$B$25</f>
        <v>20000</v>
      </c>
      <c r="Y18" s="7" t="n">
        <f aca="false">Допущения!$B$25</f>
        <v>20000</v>
      </c>
    </row>
    <row r="19" customFormat="false" ht="15" hidden="false" customHeight="false" outlineLevel="0" collapsed="false">
      <c r="A19" s="17" t="s">
        <v>244</v>
      </c>
      <c r="B19" s="7" t="n">
        <f aca="false">Допущения!$B$31</f>
        <v>8000</v>
      </c>
      <c r="C19" s="7" t="n">
        <f aca="false">Допущения!$B$31</f>
        <v>8000</v>
      </c>
      <c r="D19" s="7" t="n">
        <f aca="false">Допущения!$B$31</f>
        <v>8000</v>
      </c>
      <c r="E19" s="7" t="n">
        <f aca="false">Допущения!$B$31</f>
        <v>8000</v>
      </c>
      <c r="F19" s="7" t="n">
        <f aca="false">Допущения!$B$31</f>
        <v>8000</v>
      </c>
      <c r="G19" s="7" t="n">
        <f aca="false">Допущения!$B$31</f>
        <v>8000</v>
      </c>
      <c r="H19" s="7" t="n">
        <f aca="false">Допущения!$B$31</f>
        <v>8000</v>
      </c>
      <c r="I19" s="7" t="n">
        <f aca="false">Допущения!$B$31</f>
        <v>8000</v>
      </c>
      <c r="J19" s="7" t="n">
        <f aca="false">Допущения!$B$31</f>
        <v>8000</v>
      </c>
      <c r="K19" s="7" t="n">
        <f aca="false">Допущения!$B$31</f>
        <v>8000</v>
      </c>
      <c r="L19" s="7" t="n">
        <f aca="false">Допущения!$B$31</f>
        <v>8000</v>
      </c>
      <c r="M19" s="7" t="n">
        <f aca="false">Допущения!$B$31</f>
        <v>8000</v>
      </c>
      <c r="N19" s="7" t="n">
        <f aca="false">Допущения!$B$31</f>
        <v>8000</v>
      </c>
      <c r="O19" s="7" t="n">
        <f aca="false">Допущения!$B$31</f>
        <v>8000</v>
      </c>
      <c r="P19" s="7" t="n">
        <f aca="false">Допущения!$B$31</f>
        <v>8000</v>
      </c>
      <c r="Q19" s="7" t="n">
        <f aca="false">Допущения!$B$31</f>
        <v>8000</v>
      </c>
      <c r="R19" s="7" t="n">
        <f aca="false">Допущения!$B$31</f>
        <v>8000</v>
      </c>
      <c r="S19" s="7" t="n">
        <f aca="false">Допущения!$B$31</f>
        <v>8000</v>
      </c>
      <c r="T19" s="7" t="n">
        <f aca="false">Допущения!$B$31</f>
        <v>8000</v>
      </c>
      <c r="U19" s="7" t="n">
        <f aca="false">Допущения!$B$31</f>
        <v>8000</v>
      </c>
      <c r="V19" s="7" t="n">
        <f aca="false">Допущения!$B$31</f>
        <v>8000</v>
      </c>
      <c r="W19" s="7" t="n">
        <f aca="false">Допущения!$B$31</f>
        <v>8000</v>
      </c>
      <c r="X19" s="7" t="n">
        <f aca="false">Допущения!$B$31</f>
        <v>8000</v>
      </c>
      <c r="Y19" s="7" t="n">
        <f aca="false">Допущения!$B$31</f>
        <v>8000</v>
      </c>
    </row>
    <row r="20" customFormat="false" ht="15" hidden="false" customHeight="false" outlineLevel="0" collapsed="false">
      <c r="A20" s="17" t="s">
        <v>145</v>
      </c>
      <c r="B20" s="7" t="n">
        <f aca="false">Допущения!$B$32</f>
        <v>2500</v>
      </c>
      <c r="C20" s="7" t="n">
        <f aca="false">Допущения!$B$32</f>
        <v>2500</v>
      </c>
      <c r="D20" s="7" t="n">
        <f aca="false">Допущения!$B$32</f>
        <v>2500</v>
      </c>
      <c r="E20" s="7" t="n">
        <f aca="false">Допущения!$B$32</f>
        <v>2500</v>
      </c>
      <c r="F20" s="7" t="n">
        <f aca="false">Допущения!$B$32</f>
        <v>2500</v>
      </c>
      <c r="G20" s="7" t="n">
        <f aca="false">Допущения!$B$32</f>
        <v>2500</v>
      </c>
      <c r="H20" s="7" t="n">
        <f aca="false">Допущения!$B$32</f>
        <v>2500</v>
      </c>
      <c r="I20" s="7" t="n">
        <f aca="false">Допущения!$B$32</f>
        <v>2500</v>
      </c>
      <c r="J20" s="7" t="n">
        <f aca="false">Допущения!$B$32</f>
        <v>2500</v>
      </c>
      <c r="K20" s="7" t="n">
        <f aca="false">Допущения!$B$32</f>
        <v>2500</v>
      </c>
      <c r="L20" s="7" t="n">
        <f aca="false">Допущения!$B$32</f>
        <v>2500</v>
      </c>
      <c r="M20" s="7" t="n">
        <f aca="false">Допущения!$B$32</f>
        <v>2500</v>
      </c>
      <c r="N20" s="7" t="n">
        <f aca="false">Допущения!$B$32</f>
        <v>2500</v>
      </c>
      <c r="O20" s="7" t="n">
        <f aca="false">Допущения!$B$32</f>
        <v>2500</v>
      </c>
      <c r="P20" s="7" t="n">
        <f aca="false">Допущения!$B$32</f>
        <v>2500</v>
      </c>
      <c r="Q20" s="7" t="n">
        <f aca="false">Допущения!$B$32</f>
        <v>2500</v>
      </c>
      <c r="R20" s="7" t="n">
        <f aca="false">Допущения!$B$32</f>
        <v>2500</v>
      </c>
      <c r="S20" s="7" t="n">
        <f aca="false">Допущения!$B$32</f>
        <v>2500</v>
      </c>
      <c r="T20" s="7" t="n">
        <f aca="false">Допущения!$B$32</f>
        <v>2500</v>
      </c>
      <c r="U20" s="7" t="n">
        <f aca="false">Допущения!$B$32</f>
        <v>2500</v>
      </c>
      <c r="V20" s="7" t="n">
        <f aca="false">Допущения!$B$32</f>
        <v>2500</v>
      </c>
      <c r="W20" s="7" t="n">
        <f aca="false">Допущения!$B$32</f>
        <v>2500</v>
      </c>
      <c r="X20" s="7" t="n">
        <f aca="false">Допущения!$B$32</f>
        <v>2500</v>
      </c>
      <c r="Y20" s="7" t="n">
        <f aca="false">Допущения!$B$32</f>
        <v>2500</v>
      </c>
      <c r="Z20" s="8" t="s">
        <v>245</v>
      </c>
    </row>
    <row r="21" customFormat="false" ht="15" hidden="false" customHeight="false" outlineLevel="0" collapsed="false">
      <c r="A21" s="17" t="s">
        <v>246</v>
      </c>
      <c r="B21" s="7" t="n">
        <f aca="false">Допущения!$B$33</f>
        <v>7000</v>
      </c>
      <c r="C21" s="7" t="n">
        <f aca="false">Допущения!$B$33</f>
        <v>7000</v>
      </c>
      <c r="D21" s="7" t="n">
        <f aca="false">Допущения!$B$33</f>
        <v>7000</v>
      </c>
      <c r="E21" s="7" t="n">
        <f aca="false">Допущения!$B$33</f>
        <v>7000</v>
      </c>
      <c r="F21" s="7" t="n">
        <f aca="false">Допущения!$B$33</f>
        <v>7000</v>
      </c>
      <c r="G21" s="7" t="n">
        <f aca="false">Допущения!$B$33</f>
        <v>7000</v>
      </c>
      <c r="H21" s="7" t="n">
        <f aca="false">Допущения!$B$33</f>
        <v>7000</v>
      </c>
      <c r="I21" s="7" t="n">
        <f aca="false">Допущения!$B$33</f>
        <v>7000</v>
      </c>
      <c r="J21" s="7" t="n">
        <f aca="false">Допущения!$B$33</f>
        <v>7000</v>
      </c>
      <c r="K21" s="7" t="n">
        <f aca="false">Допущения!$B$33</f>
        <v>7000</v>
      </c>
      <c r="L21" s="7" t="n">
        <f aca="false">Допущения!$B$33</f>
        <v>7000</v>
      </c>
      <c r="M21" s="7" t="n">
        <f aca="false">Допущения!$B$33</f>
        <v>7000</v>
      </c>
      <c r="N21" s="7" t="n">
        <f aca="false">Допущения!$B$33</f>
        <v>7000</v>
      </c>
      <c r="O21" s="7" t="n">
        <f aca="false">Допущения!$B$33</f>
        <v>7000</v>
      </c>
      <c r="P21" s="7" t="n">
        <f aca="false">Допущения!$B$33</f>
        <v>7000</v>
      </c>
      <c r="Q21" s="7" t="n">
        <f aca="false">Допущения!$B$33</f>
        <v>7000</v>
      </c>
      <c r="R21" s="7" t="n">
        <f aca="false">Допущения!$B$33</f>
        <v>7000</v>
      </c>
      <c r="S21" s="7" t="n">
        <f aca="false">Допущения!$B$33</f>
        <v>7000</v>
      </c>
      <c r="T21" s="7" t="n">
        <f aca="false">Допущения!$B$33</f>
        <v>7000</v>
      </c>
      <c r="U21" s="7" t="n">
        <f aca="false">Допущения!$B$33</f>
        <v>7000</v>
      </c>
      <c r="V21" s="7" t="n">
        <f aca="false">Допущения!$B$33</f>
        <v>7000</v>
      </c>
      <c r="W21" s="7" t="n">
        <f aca="false">Допущения!$B$33</f>
        <v>7000</v>
      </c>
      <c r="X21" s="7" t="n">
        <f aca="false">Допущения!$B$33</f>
        <v>7000</v>
      </c>
      <c r="Y21" s="7" t="n">
        <f aca="false">Допущения!$B$33</f>
        <v>7000</v>
      </c>
    </row>
    <row r="22" customFormat="false" ht="15" hidden="false" customHeight="false" outlineLevel="0" collapsed="false">
      <c r="A22" s="17" t="s">
        <v>135</v>
      </c>
      <c r="B22" s="7" t="n">
        <f aca="false">Допущения!$B$26</f>
        <v>1908</v>
      </c>
      <c r="C22" s="7" t="n">
        <f aca="false">Допущения!$B$26</f>
        <v>1908</v>
      </c>
      <c r="D22" s="7" t="n">
        <f aca="false">Допущения!$B$26</f>
        <v>1908</v>
      </c>
      <c r="E22" s="7" t="n">
        <f aca="false">Допущения!$B$26</f>
        <v>1908</v>
      </c>
      <c r="F22" s="7" t="n">
        <f aca="false">Допущения!$B$26</f>
        <v>1908</v>
      </c>
      <c r="G22" s="7" t="n">
        <f aca="false">Допущения!$B$26</f>
        <v>1908</v>
      </c>
      <c r="H22" s="7" t="n">
        <f aca="false">Допущения!$B$26</f>
        <v>1908</v>
      </c>
      <c r="I22" s="7" t="n">
        <f aca="false">Допущения!$B$26</f>
        <v>1908</v>
      </c>
      <c r="J22" s="7" t="n">
        <f aca="false">Допущения!$B$26</f>
        <v>1908</v>
      </c>
      <c r="K22" s="7" t="n">
        <f aca="false">Допущения!$B$26</f>
        <v>1908</v>
      </c>
      <c r="L22" s="7" t="n">
        <f aca="false">Допущения!$B$26</f>
        <v>1908</v>
      </c>
      <c r="M22" s="7" t="n">
        <f aca="false">Допущения!$B$26</f>
        <v>1908</v>
      </c>
      <c r="N22" s="7" t="n">
        <f aca="false">Допущения!$B$26</f>
        <v>1908</v>
      </c>
      <c r="O22" s="7" t="n">
        <f aca="false">Допущения!$B$26</f>
        <v>1908</v>
      </c>
      <c r="P22" s="7" t="n">
        <f aca="false">Допущения!$B$26</f>
        <v>1908</v>
      </c>
      <c r="Q22" s="7" t="n">
        <f aca="false">Допущения!$B$26</f>
        <v>1908</v>
      </c>
      <c r="R22" s="7" t="n">
        <f aca="false">Допущения!$B$26</f>
        <v>1908</v>
      </c>
      <c r="S22" s="7" t="n">
        <f aca="false">Допущения!$B$26</f>
        <v>1908</v>
      </c>
      <c r="T22" s="7" t="n">
        <f aca="false">Допущения!$B$26</f>
        <v>1908</v>
      </c>
      <c r="U22" s="7" t="n">
        <f aca="false">Допущения!$B$26</f>
        <v>1908</v>
      </c>
      <c r="V22" s="7" t="n">
        <f aca="false">Допущения!$B$26</f>
        <v>1908</v>
      </c>
      <c r="W22" s="7" t="n">
        <f aca="false">Допущения!$B$26</f>
        <v>1908</v>
      </c>
      <c r="X22" s="7" t="n">
        <f aca="false">Допущения!$B$26</f>
        <v>1908</v>
      </c>
      <c r="Y22" s="7" t="n">
        <f aca="false">Допущения!$B$26</f>
        <v>1908</v>
      </c>
    </row>
    <row r="23" customFormat="false" ht="15" hidden="false" customHeight="false" outlineLevel="0" collapsed="false">
      <c r="A23" s="17" t="s">
        <v>247</v>
      </c>
      <c r="B23" s="7" t="n">
        <f aca="false">Допущения!$B$34</f>
        <v>10000</v>
      </c>
      <c r="C23" s="7" t="n">
        <f aca="false">Допущения!$B$34</f>
        <v>10000</v>
      </c>
      <c r="D23" s="7" t="n">
        <f aca="false">Допущения!$B$34</f>
        <v>10000</v>
      </c>
      <c r="E23" s="7" t="n">
        <f aca="false">Допущения!$B$34</f>
        <v>10000</v>
      </c>
      <c r="F23" s="7" t="n">
        <f aca="false">Допущения!$B$34</f>
        <v>10000</v>
      </c>
      <c r="G23" s="7" t="n">
        <f aca="false">Допущения!$B$34</f>
        <v>10000</v>
      </c>
      <c r="H23" s="7" t="n">
        <f aca="false">Допущения!$B$34</f>
        <v>10000</v>
      </c>
      <c r="I23" s="7" t="n">
        <f aca="false">Допущения!$B$34</f>
        <v>10000</v>
      </c>
      <c r="J23" s="7" t="n">
        <f aca="false">Допущения!$B$34</f>
        <v>10000</v>
      </c>
      <c r="K23" s="7" t="n">
        <f aca="false">Допущения!$B$34</f>
        <v>10000</v>
      </c>
      <c r="L23" s="7" t="n">
        <f aca="false">Допущения!$B$34</f>
        <v>10000</v>
      </c>
      <c r="M23" s="7" t="n">
        <f aca="false">Допущения!$B$34</f>
        <v>10000</v>
      </c>
      <c r="N23" s="7" t="n">
        <f aca="false">Допущения!$B$34</f>
        <v>10000</v>
      </c>
      <c r="O23" s="7" t="n">
        <f aca="false">Допущения!$B$34</f>
        <v>10000</v>
      </c>
      <c r="P23" s="7" t="n">
        <f aca="false">Допущения!$B$34</f>
        <v>10000</v>
      </c>
      <c r="Q23" s="7" t="n">
        <f aca="false">Допущения!$B$34</f>
        <v>10000</v>
      </c>
      <c r="R23" s="7" t="n">
        <f aca="false">Допущения!$B$34</f>
        <v>10000</v>
      </c>
      <c r="S23" s="7" t="n">
        <f aca="false">Допущения!$B$34</f>
        <v>10000</v>
      </c>
      <c r="T23" s="7" t="n">
        <f aca="false">Допущения!$B$34</f>
        <v>10000</v>
      </c>
      <c r="U23" s="7" t="n">
        <f aca="false">Допущения!$B$34</f>
        <v>10000</v>
      </c>
      <c r="V23" s="7" t="n">
        <f aca="false">Допущения!$B$34</f>
        <v>10000</v>
      </c>
      <c r="W23" s="7" t="n">
        <f aca="false">Допущения!$B$34</f>
        <v>10000</v>
      </c>
      <c r="X23" s="7" t="n">
        <f aca="false">Допущения!$B$34</f>
        <v>10000</v>
      </c>
      <c r="Y23" s="7" t="n">
        <f aca="false">Допущения!$B$34</f>
        <v>10000</v>
      </c>
    </row>
    <row r="24" customFormat="false" ht="15" hidden="false" customHeight="false" outlineLevel="0" collapsed="false">
      <c r="A24" s="17" t="s">
        <v>151</v>
      </c>
      <c r="B24" s="7" t="n">
        <f aca="false">Допущения!$B$35</f>
        <v>30000</v>
      </c>
      <c r="C24" s="7" t="n">
        <f aca="false">Допущения!$B$35</f>
        <v>30000</v>
      </c>
      <c r="D24" s="7" t="n">
        <f aca="false">Допущения!$B$35</f>
        <v>30000</v>
      </c>
      <c r="E24" s="7" t="n">
        <f aca="false">Допущения!$B$35</f>
        <v>30000</v>
      </c>
      <c r="F24" s="7" t="n">
        <f aca="false">Допущения!$B$35</f>
        <v>30000</v>
      </c>
      <c r="G24" s="7" t="n">
        <f aca="false">Допущения!$B$35</f>
        <v>30000</v>
      </c>
      <c r="H24" s="7" t="n">
        <f aca="false">Допущения!$B$35</f>
        <v>30000</v>
      </c>
      <c r="I24" s="7" t="n">
        <f aca="false">Допущения!$B$35</f>
        <v>30000</v>
      </c>
      <c r="J24" s="7" t="n">
        <f aca="false">Допущения!$B$35</f>
        <v>30000</v>
      </c>
      <c r="K24" s="7" t="n">
        <f aca="false">Допущения!$B$35</f>
        <v>30000</v>
      </c>
      <c r="L24" s="7" t="n">
        <f aca="false">Допущения!$B$35</f>
        <v>30000</v>
      </c>
      <c r="M24" s="7" t="n">
        <f aca="false">Допущения!$B$35</f>
        <v>30000</v>
      </c>
      <c r="N24" s="7" t="n">
        <f aca="false">Допущения!$B$35</f>
        <v>30000</v>
      </c>
      <c r="O24" s="7" t="n">
        <f aca="false">Допущения!$B$35</f>
        <v>30000</v>
      </c>
      <c r="P24" s="7" t="n">
        <f aca="false">Допущения!$B$35</f>
        <v>30000</v>
      </c>
      <c r="Q24" s="7" t="n">
        <f aca="false">Допущения!$B$35</f>
        <v>30000</v>
      </c>
      <c r="R24" s="7" t="n">
        <f aca="false">Допущения!$B$35</f>
        <v>30000</v>
      </c>
      <c r="S24" s="7" t="n">
        <f aca="false">Допущения!$B$35</f>
        <v>30000</v>
      </c>
      <c r="T24" s="7" t="n">
        <f aca="false">Допущения!$B$35</f>
        <v>30000</v>
      </c>
      <c r="U24" s="7" t="n">
        <f aca="false">Допущения!$B$35</f>
        <v>30000</v>
      </c>
      <c r="V24" s="7" t="n">
        <f aca="false">Допущения!$B$35</f>
        <v>30000</v>
      </c>
      <c r="W24" s="7" t="n">
        <f aca="false">Допущения!$B$35</f>
        <v>30000</v>
      </c>
      <c r="X24" s="7" t="n">
        <f aca="false">Допущения!$B$35</f>
        <v>30000</v>
      </c>
      <c r="Y24" s="7" t="n">
        <f aca="false">Допущения!$B$35</f>
        <v>30000</v>
      </c>
    </row>
    <row r="25" customFormat="false" ht="15" hidden="false" customHeight="false" outlineLevel="0" collapsed="false">
      <c r="A25" s="17" t="s">
        <v>248</v>
      </c>
      <c r="B25" s="7" t="n">
        <f aca="false">Допущения!$B$36</f>
        <v>8000</v>
      </c>
      <c r="C25" s="7" t="n">
        <f aca="false">Допущения!$B$36</f>
        <v>8000</v>
      </c>
      <c r="D25" s="7" t="n">
        <f aca="false">Допущения!$B$36</f>
        <v>8000</v>
      </c>
      <c r="E25" s="7" t="n">
        <f aca="false">Допущения!$B$36</f>
        <v>8000</v>
      </c>
      <c r="F25" s="7" t="n">
        <f aca="false">Допущения!$B$36</f>
        <v>8000</v>
      </c>
      <c r="G25" s="7" t="n">
        <f aca="false">Допущения!$B$36</f>
        <v>8000</v>
      </c>
      <c r="H25" s="7" t="n">
        <f aca="false">Допущения!$B$36</f>
        <v>8000</v>
      </c>
      <c r="I25" s="7" t="n">
        <f aca="false">Допущения!$B$36</f>
        <v>8000</v>
      </c>
      <c r="J25" s="7" t="n">
        <f aca="false">Допущения!$B$36</f>
        <v>8000</v>
      </c>
      <c r="K25" s="7" t="n">
        <f aca="false">Допущения!$B$36</f>
        <v>8000</v>
      </c>
      <c r="L25" s="7" t="n">
        <f aca="false">Допущения!$B$36</f>
        <v>8000</v>
      </c>
      <c r="M25" s="7" t="n">
        <f aca="false">Допущения!$B$36</f>
        <v>8000</v>
      </c>
      <c r="N25" s="7" t="n">
        <f aca="false">Допущения!$B$36</f>
        <v>8000</v>
      </c>
      <c r="O25" s="7" t="n">
        <f aca="false">Допущения!$B$36</f>
        <v>8000</v>
      </c>
      <c r="P25" s="7" t="n">
        <f aca="false">Допущения!$B$36</f>
        <v>8000</v>
      </c>
      <c r="Q25" s="7" t="n">
        <f aca="false">Допущения!$B$36</f>
        <v>8000</v>
      </c>
      <c r="R25" s="7" t="n">
        <f aca="false">Допущения!$B$36</f>
        <v>8000</v>
      </c>
      <c r="S25" s="7" t="n">
        <f aca="false">Допущения!$B$36</f>
        <v>8000</v>
      </c>
      <c r="T25" s="7" t="n">
        <f aca="false">Допущения!$B$36</f>
        <v>8000</v>
      </c>
      <c r="U25" s="7" t="n">
        <f aca="false">Допущения!$B$36</f>
        <v>8000</v>
      </c>
      <c r="V25" s="7" t="n">
        <f aca="false">Допущения!$B$36</f>
        <v>8000</v>
      </c>
      <c r="W25" s="7" t="n">
        <f aca="false">Допущения!$B$36</f>
        <v>8000</v>
      </c>
      <c r="X25" s="7" t="n">
        <f aca="false">Допущения!$B$36</f>
        <v>8000</v>
      </c>
      <c r="Y25" s="7" t="n">
        <f aca="false">Допущения!$B$36</f>
        <v>8000</v>
      </c>
    </row>
    <row r="26" customFormat="false" ht="15" hidden="false" customHeight="false" outlineLevel="0" collapsed="false">
      <c r="A26" s="17" t="s">
        <v>183</v>
      </c>
      <c r="B26" s="7" t="n">
        <f aca="false">B14*Допущения!$B$52</f>
        <v>0</v>
      </c>
      <c r="C26" s="7" t="n">
        <f aca="false">C14*Допущения!$B$52</f>
        <v>0</v>
      </c>
      <c r="D26" s="7" t="n">
        <f aca="false">D14*Допущения!$B$52</f>
        <v>163.53</v>
      </c>
      <c r="E26" s="7" t="n">
        <f aca="false">E14*Допущения!$B$52</f>
        <v>300.615095625</v>
      </c>
      <c r="F26" s="7" t="n">
        <f aca="false">F14*Допущения!$B$52</f>
        <v>424.053259159167</v>
      </c>
      <c r="G26" s="7" t="n">
        <f aca="false">G14*Допущения!$B$52</f>
        <v>535.530799669188</v>
      </c>
      <c r="H26" s="7" t="n">
        <f aca="false">H14*Допущения!$B$52</f>
        <v>670.883286672144</v>
      </c>
      <c r="I26" s="7" t="n">
        <f aca="false">I14*Допущения!$B$52</f>
        <v>785.480356993067</v>
      </c>
      <c r="J26" s="7" t="n">
        <f aca="false">J14*Допущения!$B$52</f>
        <v>889.797985836079</v>
      </c>
      <c r="K26" s="7" t="n">
        <f aca="false">K14*Допущения!$B$52</f>
        <v>1024.77880787237</v>
      </c>
      <c r="L26" s="7" t="n">
        <f aca="false">L14*Допущения!$B$52</f>
        <v>1134.90942970341</v>
      </c>
      <c r="M26" s="7" t="n">
        <f aca="false">M14*Допущения!$B$52</f>
        <v>1235.91585083066</v>
      </c>
      <c r="N26" s="7" t="n">
        <f aca="false">N14*Допущения!$B$52</f>
        <v>1373.91771843679</v>
      </c>
      <c r="O26" s="7" t="n">
        <f aca="false">O14*Допущения!$B$52</f>
        <v>1482.57838569803</v>
      </c>
      <c r="P26" s="7" t="n">
        <f aca="false">P14*Допущения!$B$52</f>
        <v>1631.51140789317</v>
      </c>
      <c r="Q26" s="7" t="n">
        <f aca="false">Q14*Допущения!$B$52</f>
        <v>1797.63892156386</v>
      </c>
      <c r="R26" s="7" t="n">
        <f aca="false">R14*Допущения!$B$52</f>
        <v>1927.63967816526</v>
      </c>
      <c r="S26" s="7" t="n">
        <f aca="false">S14*Допущения!$B$52</f>
        <v>2102.02959994671</v>
      </c>
      <c r="T26" s="7" t="n">
        <f aca="false">T14*Допущения!$B$52</f>
        <v>2292.49744286755</v>
      </c>
      <c r="U26" s="7" t="n">
        <f aca="false">U14*Допущения!$B$52</f>
        <v>2498.03394093509</v>
      </c>
      <c r="V26" s="7" t="n">
        <f aca="false">V14*Допущения!$B$52</f>
        <v>2717.75778780331</v>
      </c>
      <c r="W26" s="7" t="n">
        <f aca="false">W14*Допущения!$B$52</f>
        <v>2950.90016964972</v>
      </c>
      <c r="X26" s="7" t="n">
        <f aca="false">X14*Допущения!$B$52</f>
        <v>3196.79129219529</v>
      </c>
      <c r="Y26" s="7" t="n">
        <f aca="false">Y14*Допущения!$B$52</f>
        <v>3454.84863716108</v>
      </c>
    </row>
    <row r="27" customFormat="false" ht="43.25" hidden="false" customHeight="false" outlineLevel="0" collapsed="false">
      <c r="A27" s="17" t="s">
        <v>249</v>
      </c>
      <c r="B27" s="7" t="n">
        <f aca="false">B13*Допущения!$B$53/2</f>
        <v>0</v>
      </c>
      <c r="C27" s="7" t="n">
        <f aca="false">C13*Допущения!$B$53/2</f>
        <v>0</v>
      </c>
      <c r="D27" s="7" t="n">
        <f aca="false">D13*Допущения!$B$53/2</f>
        <v>19.75</v>
      </c>
      <c r="E27" s="7" t="n">
        <f aca="false">E13*Допущения!$B$53/2</f>
        <v>29.625</v>
      </c>
      <c r="F27" s="7" t="n">
        <f aca="false">F13*Допущения!$B$53/2</f>
        <v>39.5</v>
      </c>
      <c r="G27" s="7" t="n">
        <f aca="false">G13*Допущения!$B$53/2</f>
        <v>49.375</v>
      </c>
      <c r="H27" s="7" t="n">
        <f aca="false">H13*Допущения!$B$53/2</f>
        <v>69.125</v>
      </c>
      <c r="I27" s="7" t="n">
        <f aca="false">I13*Допущения!$B$53/2</f>
        <v>80.6458333333334</v>
      </c>
      <c r="J27" s="7" t="n">
        <f aca="false">J13*Допущения!$B$53/2</f>
        <v>92.1666666666667</v>
      </c>
      <c r="K27" s="7" t="n">
        <f aca="false">K13*Допущения!$B$53/2</f>
        <v>118.5</v>
      </c>
      <c r="L27" s="7" t="n">
        <f aca="false">L13*Допущения!$B$53/2</f>
        <v>131.666666666667</v>
      </c>
      <c r="M27" s="7" t="n">
        <f aca="false">M13*Допущения!$B$53/2</f>
        <v>144.833333333333</v>
      </c>
      <c r="N27" s="7" t="n">
        <f aca="false">N13*Допущения!$B$53/2</f>
        <v>177.75</v>
      </c>
      <c r="O27" s="7" t="n">
        <f aca="false">O13*Допущения!$B$53/2</f>
        <v>192.5625</v>
      </c>
      <c r="P27" s="7" t="n">
        <f aca="false">P13*Допущения!$B$53/2</f>
        <v>230.416666666667</v>
      </c>
      <c r="Q27" s="7" t="n">
        <f aca="false">Q13*Допущения!$B$53/2</f>
        <v>271.5625</v>
      </c>
      <c r="R27" s="7" t="n">
        <f aca="false">R13*Допущения!$B$53/2</f>
        <v>289.666666666667</v>
      </c>
      <c r="S27" s="7" t="n">
        <f aca="false">S13*Допущения!$B$53/2</f>
        <v>335.75</v>
      </c>
      <c r="T27" s="7" t="n">
        <f aca="false">T13*Допущения!$B$53/2</f>
        <v>385.125</v>
      </c>
      <c r="U27" s="7" t="n">
        <f aca="false">U13*Допущения!$B$53/2</f>
        <v>437.791666666667</v>
      </c>
      <c r="V27" s="7" t="n">
        <f aca="false">V13*Допущения!$B$53/2</f>
        <v>493.75</v>
      </c>
      <c r="W27" s="7" t="n">
        <f aca="false">W13*Допущения!$B$53/2</f>
        <v>553</v>
      </c>
      <c r="X27" s="7" t="n">
        <f aca="false">X13*Допущения!$B$53/2</f>
        <v>615.541666666667</v>
      </c>
      <c r="Y27" s="7" t="n">
        <f aca="false">Y13*Допущения!$B$53/2</f>
        <v>681.375</v>
      </c>
      <c r="Z27" s="8" t="s">
        <v>250</v>
      </c>
    </row>
    <row r="28" customFormat="false" ht="15" hidden="false" customHeight="false" outlineLevel="0" collapsed="false">
      <c r="A28" s="17" t="s">
        <v>251</v>
      </c>
      <c r="B28" s="7" t="n">
        <f aca="false">Допущения!$B$38</f>
        <v>0</v>
      </c>
      <c r="C28" s="7" t="n">
        <f aca="false">Допущения!$B$38</f>
        <v>0</v>
      </c>
      <c r="D28" s="7" t="n">
        <f aca="false">Допущения!$B$38</f>
        <v>0</v>
      </c>
      <c r="E28" s="7" t="n">
        <f aca="false">Допущения!$B$38</f>
        <v>0</v>
      </c>
      <c r="F28" s="7" t="n">
        <f aca="false">Допущения!$B$38</f>
        <v>0</v>
      </c>
      <c r="G28" s="7" t="n">
        <f aca="false">Допущения!$B$38</f>
        <v>0</v>
      </c>
      <c r="H28" s="7" t="n">
        <f aca="false">Допущения!$B$38</f>
        <v>0</v>
      </c>
      <c r="I28" s="7" t="n">
        <f aca="false">Допущения!$B$38</f>
        <v>0</v>
      </c>
      <c r="J28" s="7" t="n">
        <f aca="false">Допущения!$B$38</f>
        <v>0</v>
      </c>
      <c r="K28" s="7" t="n">
        <f aca="false">Допущения!$B$38</f>
        <v>0</v>
      </c>
      <c r="L28" s="7" t="n">
        <f aca="false">Допущения!$B$38</f>
        <v>0</v>
      </c>
      <c r="M28" s="7" t="n">
        <f aca="false">Допущения!$B$38</f>
        <v>0</v>
      </c>
      <c r="N28" s="7" t="n">
        <f aca="false">Допущения!$B$38</f>
        <v>0</v>
      </c>
      <c r="O28" s="7" t="n">
        <f aca="false">Допущения!$B$38</f>
        <v>0</v>
      </c>
      <c r="P28" s="7" t="n">
        <f aca="false">Допущения!$B$38</f>
        <v>0</v>
      </c>
      <c r="Q28" s="7" t="n">
        <f aca="false">Допущения!$B$38</f>
        <v>0</v>
      </c>
      <c r="R28" s="7" t="n">
        <f aca="false">Допущения!$B$38</f>
        <v>0</v>
      </c>
      <c r="S28" s="7" t="n">
        <f aca="false">Допущения!$B$38</f>
        <v>0</v>
      </c>
      <c r="T28" s="7" t="n">
        <f aca="false">Допущения!$B$38</f>
        <v>0</v>
      </c>
      <c r="U28" s="7" t="n">
        <f aca="false">Допущения!$B$38</f>
        <v>0</v>
      </c>
      <c r="V28" s="7" t="n">
        <f aca="false">Допущения!$B$38</f>
        <v>0</v>
      </c>
      <c r="W28" s="7" t="n">
        <f aca="false">Допущения!$B$38</f>
        <v>0</v>
      </c>
      <c r="X28" s="7" t="n">
        <f aca="false">Допущения!$B$38</f>
        <v>0</v>
      </c>
      <c r="Y28" s="7" t="n">
        <f aca="false">Допущения!$B$38</f>
        <v>0</v>
      </c>
    </row>
    <row r="29" customFormat="false" ht="15" hidden="false" customHeight="false" outlineLevel="0" collapsed="false">
      <c r="A29" s="17" t="s">
        <v>252</v>
      </c>
      <c r="B29" s="7" t="n">
        <f aca="false">Допущения!$B$39</f>
        <v>0</v>
      </c>
      <c r="C29" s="7" t="n">
        <f aca="false">Допущения!$B$39</f>
        <v>0</v>
      </c>
      <c r="D29" s="7" t="n">
        <f aca="false">Допущения!$B$39</f>
        <v>0</v>
      </c>
      <c r="E29" s="7" t="n">
        <f aca="false">Допущения!$B$39</f>
        <v>0</v>
      </c>
      <c r="F29" s="7" t="n">
        <f aca="false">Допущения!$B$39</f>
        <v>0</v>
      </c>
      <c r="G29" s="7" t="n">
        <f aca="false">Допущения!$B$39</f>
        <v>0</v>
      </c>
      <c r="H29" s="7" t="n">
        <f aca="false">Допущения!$B$39</f>
        <v>0</v>
      </c>
      <c r="I29" s="7" t="n">
        <f aca="false">Допущения!$B$39</f>
        <v>0</v>
      </c>
      <c r="J29" s="7" t="n">
        <f aca="false">Допущения!$B$39</f>
        <v>0</v>
      </c>
      <c r="K29" s="7" t="n">
        <f aca="false">Допущения!$B$39</f>
        <v>0</v>
      </c>
      <c r="L29" s="7" t="n">
        <f aca="false">Допущения!$B$39</f>
        <v>0</v>
      </c>
      <c r="M29" s="7" t="n">
        <f aca="false">Допущения!$B$39</f>
        <v>0</v>
      </c>
      <c r="N29" s="7" t="n">
        <f aca="false">Допущения!$B$39</f>
        <v>0</v>
      </c>
      <c r="O29" s="7" t="n">
        <f aca="false">Допущения!$B$39</f>
        <v>0</v>
      </c>
      <c r="P29" s="7" t="n">
        <f aca="false">Допущения!$B$39</f>
        <v>0</v>
      </c>
      <c r="Q29" s="7" t="n">
        <f aca="false">Допущения!$B$39</f>
        <v>0</v>
      </c>
      <c r="R29" s="7" t="n">
        <f aca="false">Допущения!$B$39</f>
        <v>0</v>
      </c>
      <c r="S29" s="7" t="n">
        <f aca="false">Допущения!$B$39</f>
        <v>0</v>
      </c>
      <c r="T29" s="7" t="n">
        <f aca="false">Допущения!$B$39</f>
        <v>0</v>
      </c>
      <c r="U29" s="7" t="n">
        <f aca="false">Допущения!$B$39</f>
        <v>0</v>
      </c>
      <c r="V29" s="7" t="n">
        <f aca="false">Допущения!$B$39</f>
        <v>0</v>
      </c>
      <c r="W29" s="7" t="n">
        <f aca="false">Допущения!$B$39</f>
        <v>0</v>
      </c>
      <c r="X29" s="7" t="n">
        <f aca="false">Допущения!$B$39</f>
        <v>0</v>
      </c>
      <c r="Y29" s="7" t="n">
        <f aca="false">Допущения!$B$39</f>
        <v>0</v>
      </c>
    </row>
    <row r="30" customFormat="false" ht="32.8" hidden="false" customHeight="false" outlineLevel="0" collapsed="false">
      <c r="A30" s="17" t="s">
        <v>253</v>
      </c>
      <c r="B30" s="7" t="n">
        <f aca="false">IF(1&lt;=Допущения!$B$40,0,IF(1&lt;=Допущения!$B$42,Допущения!$B$41,Допущения!$B$43))</f>
        <v>0</v>
      </c>
      <c r="C30" s="7" t="n">
        <f aca="false">IF(2&lt;=Допущения!$B$40,0,IF(2&lt;=Допущения!$B$42,Допущения!$B$41,Допущения!$B$43))</f>
        <v>0</v>
      </c>
      <c r="D30" s="7" t="n">
        <f aca="false">IF(3&lt;=Допущения!$B$40,0,IF(3&lt;=Допущения!$B$42,Допущения!$B$41,Допущения!$B$43))</f>
        <v>0</v>
      </c>
      <c r="E30" s="7" t="n">
        <f aca="false">IF(4&lt;=Допущения!$B$40,0,IF(4&lt;=Допущения!$B$42,Допущения!$B$41,Допущения!$B$43))</f>
        <v>50000</v>
      </c>
      <c r="F30" s="7" t="n">
        <f aca="false">IF(5&lt;=Допущения!$B$40,0,IF(5&lt;=Допущения!$B$42,Допущения!$B$41,Допущения!$B$43))</f>
        <v>50000</v>
      </c>
      <c r="G30" s="7" t="n">
        <f aca="false">IF(6&lt;=Допущения!$B$40,0,IF(6&lt;=Допущения!$B$42,Допущения!$B$41,Допущения!$B$43))</f>
        <v>50000</v>
      </c>
      <c r="H30" s="7" t="n">
        <f aca="false">IF(7&lt;=Допущения!$B$40,0,IF(7&lt;=Допущения!$B$42,Допущения!$B$41,Допущения!$B$43))</f>
        <v>50000</v>
      </c>
      <c r="I30" s="7" t="n">
        <f aca="false">IF(8&lt;=Допущения!$B$40,0,IF(8&lt;=Допущения!$B$42,Допущения!$B$41,Допущения!$B$43))</f>
        <v>50000</v>
      </c>
      <c r="J30" s="7" t="n">
        <f aca="false">IF(9&lt;=Допущения!$B$40,0,IF(9&lt;=Допущения!$B$42,Допущения!$B$41,Допущения!$B$43))</f>
        <v>50000</v>
      </c>
      <c r="K30" s="7" t="n">
        <f aca="false">IF(10&lt;=Допущения!$B$40,0,IF(10&lt;=Допущения!$B$42,Допущения!$B$41,Допущения!$B$43))</f>
        <v>50000</v>
      </c>
      <c r="L30" s="7" t="n">
        <f aca="false">IF(11&lt;=Допущения!$B$40,0,IF(11&lt;=Допущения!$B$42,Допущения!$B$41,Допущения!$B$43))</f>
        <v>50000</v>
      </c>
      <c r="M30" s="7" t="n">
        <f aca="false">IF(12&lt;=Допущения!$B$40,0,IF(12&lt;=Допущения!$B$42,Допущения!$B$41,Допущения!$B$43))</f>
        <v>50000</v>
      </c>
      <c r="N30" s="7" t="n">
        <f aca="false">IF(13&lt;=Допущения!$B$40,0,IF(13&lt;=Допущения!$B$42,Допущения!$B$41,Допущения!$B$43))</f>
        <v>100000</v>
      </c>
      <c r="O30" s="7" t="n">
        <f aca="false">IF(14&lt;=Допущения!$B$40,0,IF(14&lt;=Допущения!$B$42,Допущения!$B$41,Допущения!$B$43))</f>
        <v>100000</v>
      </c>
      <c r="P30" s="7" t="n">
        <f aca="false">IF(15&lt;=Допущения!$B$40,0,IF(15&lt;=Допущения!$B$42,Допущения!$B$41,Допущения!$B$43))</f>
        <v>100000</v>
      </c>
      <c r="Q30" s="7" t="n">
        <f aca="false">IF(16&lt;=Допущения!$B$40,0,IF(16&lt;=Допущения!$B$42,Допущения!$B$41,Допущения!$B$43))</f>
        <v>100000</v>
      </c>
      <c r="R30" s="7" t="n">
        <f aca="false">IF(17&lt;=Допущения!$B$40,0,IF(17&lt;=Допущения!$B$42,Допущения!$B$41,Допущения!$B$43))</f>
        <v>100000</v>
      </c>
      <c r="S30" s="7" t="n">
        <f aca="false">IF(18&lt;=Допущения!$B$40,0,IF(18&lt;=Допущения!$B$42,Допущения!$B$41,Допущения!$B$43))</f>
        <v>100000</v>
      </c>
      <c r="T30" s="7" t="n">
        <f aca="false">IF(19&lt;=Допущения!$B$40,0,IF(19&lt;=Допущения!$B$42,Допущения!$B$41,Допущения!$B$43))</f>
        <v>100000</v>
      </c>
      <c r="U30" s="7" t="n">
        <f aca="false">IF(20&lt;=Допущения!$B$40,0,IF(20&lt;=Допущения!$B$42,Допущения!$B$41,Допущения!$B$43))</f>
        <v>100000</v>
      </c>
      <c r="V30" s="7" t="n">
        <f aca="false">IF(21&lt;=Допущения!$B$40,0,IF(21&lt;=Допущения!$B$42,Допущения!$B$41,Допущения!$B$43))</f>
        <v>100000</v>
      </c>
      <c r="W30" s="7" t="n">
        <f aca="false">IF(22&lt;=Допущения!$B$40,0,IF(22&lt;=Допущения!$B$42,Допущения!$B$41,Допущения!$B$43))</f>
        <v>100000</v>
      </c>
      <c r="X30" s="7" t="n">
        <f aca="false">IF(23&lt;=Допущения!$B$40,0,IF(23&lt;=Допущения!$B$42,Допущения!$B$41,Допущения!$B$43))</f>
        <v>100000</v>
      </c>
      <c r="Y30" s="7" t="n">
        <f aca="false">IF(24&lt;=Допущения!$B$40,0,IF(24&lt;=Допущения!$B$42,Допущения!$B$41,Допущения!$B$43))</f>
        <v>100000</v>
      </c>
      <c r="Z30" s="8" t="s">
        <v>254</v>
      </c>
    </row>
    <row r="31" customFormat="false" ht="32.8" hidden="false" customHeight="false" outlineLevel="0" collapsed="false">
      <c r="A31" s="17" t="s">
        <v>255</v>
      </c>
      <c r="B31" s="7" t="n">
        <f aca="false">Допущения!$B$49/12</f>
        <v>246.583333333333</v>
      </c>
      <c r="C31" s="7" t="n">
        <f aca="false">Допущения!$B$49/12</f>
        <v>246.583333333333</v>
      </c>
      <c r="D31" s="7" t="n">
        <f aca="false">Допущения!$B$49/12</f>
        <v>246.583333333333</v>
      </c>
      <c r="E31" s="7" t="n">
        <f aca="false">Допущения!$B$49/12</f>
        <v>246.583333333333</v>
      </c>
      <c r="F31" s="7" t="n">
        <f aca="false">Допущения!$B$49/12</f>
        <v>246.583333333333</v>
      </c>
      <c r="G31" s="7" t="n">
        <f aca="false">Допущения!$B$49/12</f>
        <v>246.583333333333</v>
      </c>
      <c r="H31" s="7" t="n">
        <f aca="false">Допущения!$B$49/12</f>
        <v>246.583333333333</v>
      </c>
      <c r="I31" s="7" t="n">
        <f aca="false">Допущения!$B$49/12</f>
        <v>246.583333333333</v>
      </c>
      <c r="J31" s="7" t="n">
        <f aca="false">Допущения!$B$49/12</f>
        <v>246.583333333333</v>
      </c>
      <c r="K31" s="7" t="n">
        <f aca="false">Допущения!$B$49/12</f>
        <v>246.583333333333</v>
      </c>
      <c r="L31" s="7" t="n">
        <f aca="false">Допущения!$B$49/12</f>
        <v>246.583333333333</v>
      </c>
      <c r="M31" s="7" t="n">
        <f aca="false">Допущения!$B$49/12</f>
        <v>246.583333333333</v>
      </c>
      <c r="N31" s="7" t="n">
        <f aca="false">Допущения!$B$49/12</f>
        <v>246.583333333333</v>
      </c>
      <c r="O31" s="7" t="n">
        <f aca="false">Допущения!$B$49/12</f>
        <v>246.583333333333</v>
      </c>
      <c r="P31" s="7" t="n">
        <f aca="false">Допущения!$B$49/12</f>
        <v>246.583333333333</v>
      </c>
      <c r="Q31" s="7" t="n">
        <f aca="false">Допущения!$B$49/12</f>
        <v>246.583333333333</v>
      </c>
      <c r="R31" s="7" t="n">
        <f aca="false">Допущения!$B$49/12</f>
        <v>246.583333333333</v>
      </c>
      <c r="S31" s="7" t="n">
        <f aca="false">Допущения!$B$49/12</f>
        <v>246.583333333333</v>
      </c>
      <c r="T31" s="7" t="n">
        <f aca="false">Допущения!$B$49/12</f>
        <v>246.583333333333</v>
      </c>
      <c r="U31" s="7" t="n">
        <f aca="false">Допущения!$B$49/12</f>
        <v>246.583333333333</v>
      </c>
      <c r="V31" s="7" t="n">
        <f aca="false">Допущения!$B$49/12</f>
        <v>246.583333333333</v>
      </c>
      <c r="W31" s="7" t="n">
        <f aca="false">Допущения!$B$49/12</f>
        <v>246.583333333333</v>
      </c>
      <c r="X31" s="7" t="n">
        <f aca="false">Допущения!$B$49/12</f>
        <v>246.583333333333</v>
      </c>
      <c r="Y31" s="7" t="n">
        <f aca="false">Допущения!$B$49/12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100253.063333333</v>
      </c>
      <c r="E32" s="14" t="n">
        <f aca="false">SUM(E16:E31)</f>
        <v>150502.868228958</v>
      </c>
      <c r="F32" s="14" t="n">
        <f aca="false">SUM(F16:F31)</f>
        <v>150728.195962093</v>
      </c>
      <c r="G32" s="14" t="n">
        <f aca="false">SUM(G16:G31)</f>
        <v>150932.063077391</v>
      </c>
      <c r="H32" s="14" t="n">
        <f aca="false">SUM(H16:H31)</f>
        <v>151180.541587205</v>
      </c>
      <c r="I32" s="14" t="n">
        <f aca="false">SUM(I16:I31)</f>
        <v>151390.723173423</v>
      </c>
      <c r="J32" s="14" t="n">
        <f aca="false">SUM(J16:J31)</f>
        <v>151582.440234224</v>
      </c>
      <c r="K32" s="14" t="n">
        <f aca="false">SUM(K16:K31)</f>
        <v>151831.63485332</v>
      </c>
      <c r="L32" s="14" t="n">
        <f aca="false">SUM(L16:L31)</f>
        <v>152034.543393346</v>
      </c>
      <c r="M32" s="14" t="n">
        <f aca="false">SUM(M16:M31)</f>
        <v>152221.045866773</v>
      </c>
      <c r="N32" s="14" t="n">
        <f aca="false">SUM(N16:N31)</f>
        <v>202477.078779467</v>
      </c>
      <c r="O32" s="14" t="n">
        <f aca="false">SUM(O16:O31)</f>
        <v>202678.129927104</v>
      </c>
      <c r="P32" s="14" t="n">
        <f aca="false">SUM(P16:P31)</f>
        <v>202955.047027998</v>
      </c>
      <c r="Q32" s="14" t="n">
        <f aca="false">SUM(Q16:Q31)</f>
        <v>203263.936321567</v>
      </c>
      <c r="R32" s="14" t="n">
        <f aca="false">SUM(R16:R31)</f>
        <v>203505.013462146</v>
      </c>
      <c r="S32" s="14" t="n">
        <f aca="false">SUM(S16:S31)</f>
        <v>203830.017613323</v>
      </c>
      <c r="T32" s="14" t="n">
        <f aca="false">SUM(T16:T31)</f>
        <v>204185.03974366</v>
      </c>
      <c r="U32" s="14" t="n">
        <f aca="false">SUM(U16:U31)</f>
        <v>204568.276363573</v>
      </c>
      <c r="V32" s="14" t="n">
        <f aca="false">SUM(V16:V31)</f>
        <v>204978.154030033</v>
      </c>
      <c r="W32" s="14" t="n">
        <f aca="false">SUM(W16:W31)</f>
        <v>205413.301702897</v>
      </c>
      <c r="X32" s="14" t="n">
        <f aca="false">SUM(X16:X31)</f>
        <v>205872.52665715</v>
      </c>
      <c r="Y32" s="14" t="n">
        <f aca="false">SUM(Y16:Y31)</f>
        <v>206354.793480499</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4726.83333333333</v>
      </c>
      <c r="E34" s="7" t="n">
        <f aca="false">SUM($E$12:E12)</f>
        <v>8934.2531875</v>
      </c>
      <c r="F34" s="7" t="n">
        <f aca="false">SUM($E$12:F12)</f>
        <v>21621.0284928056</v>
      </c>
      <c r="G34" s="7" t="n">
        <f aca="false">SUM($E$12:G12)</f>
        <v>37661.6384817785</v>
      </c>
      <c r="H34" s="7" t="n">
        <f aca="false">SUM($E$12:H12)</f>
        <v>57489.83137085</v>
      </c>
      <c r="I34" s="7" t="n">
        <f aca="false">SUM($E$12:I12)</f>
        <v>80715.4960483966</v>
      </c>
      <c r="J34" s="7" t="n">
        <f aca="false">SUM($E$12:J12)</f>
        <v>106995.984465155</v>
      </c>
      <c r="K34" s="7" t="n">
        <f aca="false">SUM($E$12:K12)</f>
        <v>136810.278060901</v>
      </c>
      <c r="L34" s="7" t="n">
        <f aca="false">SUM($E$12:L12)</f>
        <v>169812.81460657</v>
      </c>
      <c r="M34" s="7" t="n">
        <f aca="false">SUM($E$12:M12)</f>
        <v>205699.454078703</v>
      </c>
      <c r="N34" s="7" t="n">
        <f aca="false">SUM($E$12:N12)</f>
        <v>244979.211359929</v>
      </c>
      <c r="O34" s="7" t="n">
        <f aca="false">SUM($E$12:O12)</f>
        <v>287337.865883197</v>
      </c>
      <c r="P34" s="7" t="n">
        <f aca="false">SUM($E$12:P12)</f>
        <v>333272.968368525</v>
      </c>
      <c r="Q34" s="7" t="n">
        <f aca="false">SUM($E$12:Q12)</f>
        <v>383236.97408732</v>
      </c>
      <c r="R34" s="7" t="n">
        <f aca="false">SUM($E$12:R12)</f>
        <v>436870.518915051</v>
      </c>
      <c r="S34" s="7" t="n">
        <f aca="false">SUM($E$12:S12)</f>
        <v>494627.338913275</v>
      </c>
      <c r="T34" s="7" t="n">
        <f aca="false">SUM($E$12:T12)</f>
        <v>556922.670342193</v>
      </c>
      <c r="U34" s="7" t="n">
        <f aca="false">SUM($E$12:U12)</f>
        <v>624138.107262252</v>
      </c>
      <c r="V34" s="7" t="n">
        <f aca="false">SUM($E$12:V12)</f>
        <v>696625.866855696</v>
      </c>
      <c r="W34" s="7" t="n">
        <f aca="false">SUM($E$12:W12)</f>
        <v>774712.539177353</v>
      </c>
      <c r="X34" s="7" t="n">
        <f aca="false">SUM($E$12:X12)</f>
        <v>858702.387806085</v>
      </c>
      <c r="Y34" s="7" t="n">
        <f aca="false">SUM($E$12:Y12)</f>
        <v>948880.259044787</v>
      </c>
      <c r="Z34" s="8" t="s">
        <v>260</v>
      </c>
    </row>
    <row r="35" customFormat="false" ht="22.35" hidden="false" customHeight="false" outlineLevel="0" collapsed="false">
      <c r="A35" s="17" t="s">
        <v>261</v>
      </c>
      <c r="B35" s="7" t="n">
        <f aca="false">IF(B34&gt;Допущения!$B$47,B12*Допущения!$B$48,0)</f>
        <v>0</v>
      </c>
      <c r="C35" s="7" t="n">
        <f aca="false">IF(C34&gt;Допущения!$B$47,C12*Допущения!$B$48,0)</f>
        <v>0</v>
      </c>
      <c r="D35" s="7" t="n">
        <f aca="false">IF(D34&gt;Допущения!$B$47,D12*Допущения!$B$48,0)</f>
        <v>0</v>
      </c>
      <c r="E35" s="7" t="n">
        <f aca="false">IF(E34&gt;Допущения!$B$47,E12*Допущения!$B$48,0)</f>
        <v>0</v>
      </c>
      <c r="F35" s="7" t="n">
        <f aca="false">IF(F34&gt;Допущения!$B$47,F12*Допущения!$B$48,0)</f>
        <v>0</v>
      </c>
      <c r="G35" s="7" t="n">
        <f aca="false">IF(G34&gt;Допущения!$B$47,G12*Допущения!$B$48,0)</f>
        <v>0</v>
      </c>
      <c r="H35" s="7" t="n">
        <f aca="false">IF(H34&gt;Допущения!$B$47,H12*Допущения!$B$48,0)</f>
        <v>0</v>
      </c>
      <c r="I35" s="7" t="n">
        <f aca="false">IF(I34&gt;Допущения!$B$47,I12*Допущения!$B$48,0)</f>
        <v>0</v>
      </c>
      <c r="J35" s="7" t="n">
        <f aca="false">IF(J34&gt;Допущения!$B$47,J12*Допущения!$B$48,0)</f>
        <v>0</v>
      </c>
      <c r="K35" s="7" t="n">
        <f aca="false">IF(K34&gt;Допущения!$B$47,K12*Допущения!$B$48,0)</f>
        <v>0</v>
      </c>
      <c r="L35" s="7" t="n">
        <f aca="false">IF(L34&gt;Допущения!$B$47,L12*Допущения!$B$48,0)</f>
        <v>0</v>
      </c>
      <c r="M35" s="7" t="n">
        <f aca="false">IF(M34&gt;Допущения!$B$47,M12*Допущения!$B$48,0)</f>
        <v>0</v>
      </c>
      <c r="N35" s="7" t="n">
        <f aca="false">IF(N34&gt;Допущения!$B$47,N12*Допущения!$B$48,0)</f>
        <v>0</v>
      </c>
      <c r="O35" s="7" t="n">
        <f aca="false">IF(O34&gt;Допущения!$B$47,O12*Допущения!$B$48,0)</f>
        <v>0</v>
      </c>
      <c r="P35" s="7" t="n">
        <f aca="false">IF(P34&gt;Допущения!$B$47,P12*Допущения!$B$48,0)</f>
        <v>0</v>
      </c>
      <c r="Q35" s="7" t="n">
        <f aca="false">IF(Q34&gt;Допущения!$B$47,Q12*Допущения!$B$48,0)</f>
        <v>0</v>
      </c>
      <c r="R35" s="7" t="n">
        <f aca="false">IF(R34&gt;Допущения!$B$47,R12*Допущения!$B$48,0)</f>
        <v>0</v>
      </c>
      <c r="S35" s="7" t="n">
        <f aca="false">IF(S34&gt;Допущения!$B$47,S12*Допущения!$B$48,0)</f>
        <v>0</v>
      </c>
      <c r="T35" s="7" t="n">
        <f aca="false">IF(T34&gt;Допущения!$B$47,T12*Допущения!$B$48,0)</f>
        <v>0</v>
      </c>
      <c r="U35" s="7" t="n">
        <f aca="false">IF(U34&gt;Допущения!$B$47,U12*Допущения!$B$48,0)</f>
        <v>0</v>
      </c>
      <c r="V35" s="7" t="n">
        <f aca="false">IF(V34&gt;Допущения!$B$47,V12*Допущения!$B$48,0)</f>
        <v>0</v>
      </c>
      <c r="W35" s="7" t="n">
        <f aca="false">IF(W34&gt;Допущения!$B$47,W12*Допущения!$B$48,0)</f>
        <v>0</v>
      </c>
      <c r="X35" s="7" t="n">
        <f aca="false">IF(X34&gt;Допущения!$B$47,X12*Допущения!$B$48,0)</f>
        <v>0</v>
      </c>
      <c r="Y35" s="7" t="n">
        <f aca="false">IF(Y34&gt;Допущения!$B$47,Y12*Допущения!$B$48,0)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-95526.23</v>
      </c>
      <c r="E36" s="7" t="n">
        <f aca="false">E12-E32-E35</f>
        <v>-141568.615041458</v>
      </c>
      <c r="F36" s="7" t="n">
        <f aca="false">F12-F32-F35</f>
        <v>-138041.420656787</v>
      </c>
      <c r="G36" s="7" t="n">
        <f aca="false">G12-G32-G35</f>
        <v>-134891.453088418</v>
      </c>
      <c r="H36" s="7" t="n">
        <f aca="false">H12-H32-H35</f>
        <v>-131352.348698133</v>
      </c>
      <c r="I36" s="7" t="n">
        <f aca="false">I12-I32-I35</f>
        <v>-128165.058495877</v>
      </c>
      <c r="J36" s="7" t="n">
        <f aca="false">J12-J32-J35</f>
        <v>-125301.951817466</v>
      </c>
      <c r="K36" s="7" t="n">
        <f aca="false">K12-K32-K35</f>
        <v>-122017.341257574</v>
      </c>
      <c r="L36" s="7" t="n">
        <f aca="false">L12-L32-L35</f>
        <v>-119032.006847677</v>
      </c>
      <c r="M36" s="7" t="n">
        <f aca="false">M12-M32-M35</f>
        <v>-116334.40639464</v>
      </c>
      <c r="N36" s="7" t="n">
        <f aca="false">N12-N32-N35</f>
        <v>-163197.321498241</v>
      </c>
      <c r="O36" s="7" t="n">
        <f aca="false">O12-O32-O35</f>
        <v>-160319.475403836</v>
      </c>
      <c r="P36" s="7" t="n">
        <f aca="false">P12-P32-P35</f>
        <v>-157019.94454267</v>
      </c>
      <c r="Q36" s="7" t="n">
        <f aca="false">Q12-Q32-Q35</f>
        <v>-153299.930602772</v>
      </c>
      <c r="R36" s="7" t="n">
        <f aca="false">R12-R32-R35</f>
        <v>-149871.468634415</v>
      </c>
      <c r="S36" s="7" t="n">
        <f aca="false">S12-S32-S35</f>
        <v>-146073.197615099</v>
      </c>
      <c r="T36" s="7" t="n">
        <f aca="false">T12-T32-T35</f>
        <v>-141889.708314741</v>
      </c>
      <c r="U36" s="7" t="n">
        <f aca="false">U12-U32-U35</f>
        <v>-137352.839443515</v>
      </c>
      <c r="V36" s="7" t="n">
        <f aca="false">V12-V32-V35</f>
        <v>-132490.39443659</v>
      </c>
      <c r="W36" s="7" t="n">
        <f aca="false">W12-W32-W35</f>
        <v>-127326.62938124</v>
      </c>
      <c r="X36" s="7" t="n">
        <f aca="false">X12-X32-X35</f>
        <v>-121882.678028419</v>
      </c>
      <c r="Y36" s="7" t="n">
        <f aca="false">Y12-Y32-Y35</f>
        <v>-116176.922241796</v>
      </c>
    </row>
    <row r="37" customFormat="false" ht="32.8" hidden="false" customHeight="false" outlineLevel="0" collapsed="false">
      <c r="A37" s="17" t="s">
        <v>264</v>
      </c>
      <c r="B37" s="7" t="n">
        <f aca="false">MAX(B36*Допущения!$B$45,B12*Допущения!$B$46)</f>
        <v>0</v>
      </c>
      <c r="C37" s="7" t="n">
        <f aca="false">MAX(C36*Допущения!$B$45,C12*Допущения!$B$46)</f>
        <v>0</v>
      </c>
      <c r="D37" s="7" t="n">
        <f aca="false">MAX(D36*Допущения!$B$45,D12*Допущения!$B$46)</f>
        <v>141.805</v>
      </c>
      <c r="E37" s="7" t="n">
        <f aca="false">MAX(E36*Допущения!$B$45,E12*Допущения!$B$46)</f>
        <v>268.027595625</v>
      </c>
      <c r="F37" s="7" t="n">
        <f aca="false">MAX(F36*Допущения!$B$45,F12*Допущения!$B$46)</f>
        <v>380.603259159167</v>
      </c>
      <c r="G37" s="7" t="n">
        <f aca="false">MAX(G36*Допущения!$B$45,G12*Допущения!$B$46)</f>
        <v>481.218299669188</v>
      </c>
      <c r="H37" s="7" t="n">
        <f aca="false">MAX(H36*Допущения!$B$45,H12*Допущения!$B$46)</f>
        <v>594.845786672144</v>
      </c>
      <c r="I37" s="7" t="n">
        <f aca="false">MAX(I36*Допущения!$B$45,I12*Допущения!$B$46)</f>
        <v>696.7699403264</v>
      </c>
      <c r="J37" s="7" t="n">
        <f aca="false">MAX(J36*Допущения!$B$45,J12*Допущения!$B$46)</f>
        <v>788.414652502746</v>
      </c>
      <c r="K37" s="7" t="n">
        <f aca="false">MAX(K36*Допущения!$B$45,K12*Допущения!$B$46)</f>
        <v>894.428807872374</v>
      </c>
      <c r="L37" s="7" t="n">
        <f aca="false">MAX(L36*Допущения!$B$45,L12*Допущения!$B$46)</f>
        <v>990.076096370074</v>
      </c>
      <c r="M37" s="7" t="n">
        <f aca="false">MAX(M36*Допущения!$B$45,M12*Допущения!$B$46)</f>
        <v>1076.599184164</v>
      </c>
      <c r="N37" s="7" t="n">
        <f aca="false">MAX(N36*Допущения!$B$45,N12*Допущения!$B$46)</f>
        <v>1178.39271843679</v>
      </c>
      <c r="O37" s="7" t="n">
        <f aca="false">MAX(O36*Допущения!$B$45,O12*Допущения!$B$46)</f>
        <v>1270.75963569803</v>
      </c>
      <c r="P37" s="7" t="n">
        <f aca="false">MAX(P36*Допущения!$B$45,P12*Допущения!$B$46)</f>
        <v>1378.05307455984</v>
      </c>
      <c r="Q37" s="7" t="n">
        <f aca="false">MAX(Q36*Допущения!$B$45,Q12*Допущения!$B$46)</f>
        <v>1498.92017156386</v>
      </c>
      <c r="R37" s="7" t="n">
        <f aca="false">MAX(R36*Допущения!$B$45,R12*Допущения!$B$46)</f>
        <v>1609.00634483192</v>
      </c>
      <c r="S37" s="7" t="n">
        <f aca="false">MAX(S36*Допущения!$B$45,S12*Допущения!$B$46)</f>
        <v>1732.70459994671</v>
      </c>
      <c r="T37" s="7" t="n">
        <f aca="false">MAX(T36*Допущения!$B$45,T12*Допущения!$B$46)</f>
        <v>1868.85994286755</v>
      </c>
      <c r="U37" s="7" t="n">
        <f aca="false">MAX(U36*Допущения!$B$45,U12*Допущения!$B$46)</f>
        <v>2016.46310760176</v>
      </c>
      <c r="V37" s="7" t="n">
        <f aca="false">MAX(V36*Допущения!$B$45,V12*Допущения!$B$46)</f>
        <v>2174.63278780331</v>
      </c>
      <c r="W37" s="7" t="n">
        <f aca="false">MAX(W36*Допущения!$B$45,W12*Допущения!$B$46)</f>
        <v>2342.60016964972</v>
      </c>
      <c r="X37" s="7" t="n">
        <f aca="false">MAX(X36*Допущения!$B$45,X12*Допущения!$B$46)</f>
        <v>2519.69545886196</v>
      </c>
      <c r="Y37" s="7" t="n">
        <f aca="false">MAX(Y36*Допущения!$B$45,Y12*Допущения!$B$46)</f>
        <v>2705.33613716108</v>
      </c>
      <c r="Z37" s="8" t="s">
        <v>265</v>
      </c>
    </row>
    <row r="38" customFormat="false" ht="15" hidden="false" customHeight="false" outlineLevel="0" collapsed="false">
      <c r="A38" s="5" t="s">
        <v>266</v>
      </c>
      <c r="B38" s="14" t="n">
        <f aca="false">B35+B37</f>
        <v>0</v>
      </c>
      <c r="C38" s="14" t="n">
        <f aca="false">C35+C37</f>
        <v>0</v>
      </c>
      <c r="D38" s="14" t="n">
        <f aca="false">D35+D37</f>
        <v>141.805</v>
      </c>
      <c r="E38" s="14" t="n">
        <f aca="false">E35+E37</f>
        <v>268.027595625</v>
      </c>
      <c r="F38" s="14" t="n">
        <f aca="false">F35+F37</f>
        <v>380.603259159167</v>
      </c>
      <c r="G38" s="14" t="n">
        <f aca="false">G35+G37</f>
        <v>481.218299669188</v>
      </c>
      <c r="H38" s="14" t="n">
        <f aca="false">H35+H37</f>
        <v>594.845786672144</v>
      </c>
      <c r="I38" s="14" t="n">
        <f aca="false">I35+I37</f>
        <v>696.7699403264</v>
      </c>
      <c r="J38" s="14" t="n">
        <f aca="false">J35+J37</f>
        <v>788.414652502746</v>
      </c>
      <c r="K38" s="14" t="n">
        <f aca="false">K35+K37</f>
        <v>894.428807872374</v>
      </c>
      <c r="L38" s="14" t="n">
        <f aca="false">L35+L37</f>
        <v>990.076096370074</v>
      </c>
      <c r="M38" s="14" t="n">
        <f aca="false">M35+M37</f>
        <v>1076.599184164</v>
      </c>
      <c r="N38" s="14" t="n">
        <f aca="false">N35+N37</f>
        <v>1178.39271843679</v>
      </c>
      <c r="O38" s="14" t="n">
        <f aca="false">O35+O37</f>
        <v>1270.75963569803</v>
      </c>
      <c r="P38" s="14" t="n">
        <f aca="false">P35+P37</f>
        <v>1378.05307455984</v>
      </c>
      <c r="Q38" s="14" t="n">
        <f aca="false">Q35+Q37</f>
        <v>1498.92017156386</v>
      </c>
      <c r="R38" s="14" t="n">
        <f aca="false">R35+R37</f>
        <v>1609.00634483192</v>
      </c>
      <c r="S38" s="14" t="n">
        <f aca="false">S35+S37</f>
        <v>1732.70459994671</v>
      </c>
      <c r="T38" s="14" t="n">
        <f aca="false">T35+T37</f>
        <v>1868.85994286755</v>
      </c>
      <c r="U38" s="14" t="n">
        <f aca="false">U35+U37</f>
        <v>2016.46310760176</v>
      </c>
      <c r="V38" s="14" t="n">
        <f aca="false">V35+V37</f>
        <v>2174.63278780331</v>
      </c>
      <c r="W38" s="14" t="n">
        <f aca="false">W35+W37</f>
        <v>2342.60016964972</v>
      </c>
      <c r="X38" s="14" t="n">
        <f aca="false">X35+X37</f>
        <v>2519.69545886196</v>
      </c>
      <c r="Y38" s="14" t="n">
        <f aca="false">Y35+Y37</f>
        <v>2705.33613716108</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-95526.23</v>
      </c>
      <c r="E40" s="14" t="n">
        <f aca="false">E12-E32</f>
        <v>-141568.615041458</v>
      </c>
      <c r="F40" s="14" t="n">
        <f aca="false">F12-F32</f>
        <v>-138041.420656787</v>
      </c>
      <c r="G40" s="14" t="n">
        <f aca="false">G12-G32</f>
        <v>-134891.453088418</v>
      </c>
      <c r="H40" s="14" t="n">
        <f aca="false">H12-H32</f>
        <v>-131352.348698133</v>
      </c>
      <c r="I40" s="14" t="n">
        <f aca="false">I12-I32</f>
        <v>-128165.058495877</v>
      </c>
      <c r="J40" s="14" t="n">
        <f aca="false">J12-J32</f>
        <v>-125301.951817466</v>
      </c>
      <c r="K40" s="14" t="n">
        <f aca="false">K12-K32</f>
        <v>-122017.341257574</v>
      </c>
      <c r="L40" s="14" t="n">
        <f aca="false">L12-L32</f>
        <v>-119032.006847677</v>
      </c>
      <c r="M40" s="14" t="n">
        <f aca="false">M12-M32</f>
        <v>-116334.40639464</v>
      </c>
      <c r="N40" s="14" t="n">
        <f aca="false">N12-N32</f>
        <v>-163197.321498241</v>
      </c>
      <c r="O40" s="14" t="n">
        <f aca="false">O12-O32</f>
        <v>-160319.475403836</v>
      </c>
      <c r="P40" s="14" t="n">
        <f aca="false">P12-P32</f>
        <v>-157019.94454267</v>
      </c>
      <c r="Q40" s="14" t="n">
        <f aca="false">Q12-Q32</f>
        <v>-153299.930602772</v>
      </c>
      <c r="R40" s="14" t="n">
        <f aca="false">R12-R32</f>
        <v>-149871.468634415</v>
      </c>
      <c r="S40" s="14" t="n">
        <f aca="false">S12-S32</f>
        <v>-146073.197615099</v>
      </c>
      <c r="T40" s="14" t="n">
        <f aca="false">T12-T32</f>
        <v>-141889.708314741</v>
      </c>
      <c r="U40" s="14" t="n">
        <f aca="false">U12-U32</f>
        <v>-137352.839443515</v>
      </c>
      <c r="V40" s="14" t="n">
        <f aca="false">V12-V32</f>
        <v>-132490.39443659</v>
      </c>
      <c r="W40" s="14" t="n">
        <f aca="false">W12-W32</f>
        <v>-127326.62938124</v>
      </c>
      <c r="X40" s="14" t="n">
        <f aca="false">X12-X32</f>
        <v>-121882.678028419</v>
      </c>
      <c r="Y40" s="14" t="n">
        <f aca="false">Y12-Y32</f>
        <v>-116176.922241796</v>
      </c>
    </row>
    <row r="41" customFormat="false" ht="15" hidden="false" customHeight="false" outlineLevel="0" collapsed="false">
      <c r="A41" s="5" t="s">
        <v>269</v>
      </c>
      <c r="B41" s="14" t="n">
        <f aca="false">B40-B38</f>
        <v>-99954.5833333333</v>
      </c>
      <c r="C41" s="14" t="n">
        <f aca="false">C40-C38</f>
        <v>-99954.5833333333</v>
      </c>
      <c r="D41" s="14" t="n">
        <f aca="false">D40-D38</f>
        <v>-95668.035</v>
      </c>
      <c r="E41" s="14" t="n">
        <f aca="false">E40-E38</f>
        <v>-141836.642637083</v>
      </c>
      <c r="F41" s="14" t="n">
        <f aca="false">F40-F38</f>
        <v>-138422.023915946</v>
      </c>
      <c r="G41" s="14" t="n">
        <f aca="false">G40-G38</f>
        <v>-135372.671388087</v>
      </c>
      <c r="H41" s="14" t="n">
        <f aca="false">H40-H38</f>
        <v>-131947.194484806</v>
      </c>
      <c r="I41" s="14" t="n">
        <f aca="false">I40-I38</f>
        <v>-128861.828436203</v>
      </c>
      <c r="J41" s="14" t="n">
        <f aca="false">J40-J38</f>
        <v>-126090.366469969</v>
      </c>
      <c r="K41" s="14" t="n">
        <f aca="false">K40-K38</f>
        <v>-122911.770065447</v>
      </c>
      <c r="L41" s="14" t="n">
        <f aca="false">L40-L38</f>
        <v>-120022.082944047</v>
      </c>
      <c r="M41" s="14" t="n">
        <f aca="false">M40-M38</f>
        <v>-117411.005578804</v>
      </c>
      <c r="N41" s="14" t="n">
        <f aca="false">N40-N38</f>
        <v>-164375.714216678</v>
      </c>
      <c r="O41" s="14" t="n">
        <f aca="false">O40-O38</f>
        <v>-161590.235039534</v>
      </c>
      <c r="P41" s="14" t="n">
        <f aca="false">P40-P38</f>
        <v>-158397.99761723</v>
      </c>
      <c r="Q41" s="14" t="n">
        <f aca="false">Q40-Q38</f>
        <v>-154798.850774335</v>
      </c>
      <c r="R41" s="14" t="n">
        <f aca="false">R40-R38</f>
        <v>-151480.474979247</v>
      </c>
      <c r="S41" s="14" t="n">
        <f aca="false">S40-S38</f>
        <v>-147805.902215046</v>
      </c>
      <c r="T41" s="14" t="n">
        <f aca="false">T40-T38</f>
        <v>-143758.568257609</v>
      </c>
      <c r="U41" s="14" t="n">
        <f aca="false">U40-U38</f>
        <v>-139369.302551117</v>
      </c>
      <c r="V41" s="14" t="n">
        <f aca="false">V40-V38</f>
        <v>-134665.027224393</v>
      </c>
      <c r="W41" s="14" t="n">
        <f aca="false">W40-W38</f>
        <v>-129669.22955089</v>
      </c>
      <c r="X41" s="14" t="n">
        <f aca="false">X40-X38</f>
        <v>-124402.373487281</v>
      </c>
      <c r="Y41" s="14" t="n">
        <f aca="false">Y40-Y38</f>
        <v>-118882.258378957</v>
      </c>
    </row>
    <row r="42" customFormat="false" ht="15" hidden="false" customHeight="false" outlineLevel="0" collapsed="false">
      <c r="A42" s="5" t="s">
        <v>270</v>
      </c>
      <c r="B42" s="14" t="n">
        <f aca="false">B14-B32-B38</f>
        <v>-99954.5833333333</v>
      </c>
      <c r="C42" s="14" t="n">
        <f aca="false">C14-C32-C38</f>
        <v>-99954.5833333333</v>
      </c>
      <c r="D42" s="14" t="n">
        <f aca="false">D14-D32-D38</f>
        <v>-94943.8683333333</v>
      </c>
      <c r="E42" s="14" t="n">
        <f aca="false">E14-E32-E38</f>
        <v>-140750.392637083</v>
      </c>
      <c r="F42" s="14" t="n">
        <f aca="false">F14-F32-F38</f>
        <v>-136973.690582613</v>
      </c>
      <c r="G42" s="14" t="n">
        <f aca="false">G14-G32-G38</f>
        <v>-133562.25472142</v>
      </c>
      <c r="H42" s="14" t="n">
        <f aca="false">H14-H32-H38</f>
        <v>-129412.611151472</v>
      </c>
      <c r="I42" s="14" t="n">
        <f aca="false">I14-I32-I38</f>
        <v>-125904.814547314</v>
      </c>
      <c r="J42" s="14" t="n">
        <f aca="false">J14-J32-J38</f>
        <v>-122710.922025524</v>
      </c>
      <c r="K42" s="14" t="n">
        <f aca="false">K14-K32-K38</f>
        <v>-118566.770065447</v>
      </c>
      <c r="L42" s="14" t="n">
        <f aca="false">L14-L32-L38</f>
        <v>-115194.30516627</v>
      </c>
      <c r="M42" s="14" t="n">
        <f aca="false">M14-M32-M38</f>
        <v>-112100.450023248</v>
      </c>
      <c r="N42" s="14" t="n">
        <f aca="false">N14-N32-N38</f>
        <v>-157858.214216678</v>
      </c>
      <c r="O42" s="14" t="n">
        <f aca="false">O14-O32-O38</f>
        <v>-154529.610039534</v>
      </c>
      <c r="P42" s="14" t="n">
        <f aca="false">P14-P32-P38</f>
        <v>-149949.386506119</v>
      </c>
      <c r="Q42" s="14" t="n">
        <f aca="false">Q14-Q32-Q38</f>
        <v>-144841.559107669</v>
      </c>
      <c r="R42" s="14" t="n">
        <f aca="false">R14-R32-R38</f>
        <v>-140859.363868136</v>
      </c>
      <c r="S42" s="14" t="n">
        <f aca="false">S14-S32-S38</f>
        <v>-135495.068881713</v>
      </c>
      <c r="T42" s="14" t="n">
        <f aca="false">T14-T32-T38</f>
        <v>-129637.318257609</v>
      </c>
      <c r="U42" s="14" t="n">
        <f aca="false">U14-U32-U38</f>
        <v>-123316.941440005</v>
      </c>
      <c r="V42" s="14" t="n">
        <f aca="false">V14-V32-V38</f>
        <v>-116560.860557726</v>
      </c>
      <c r="W42" s="14" t="n">
        <f aca="false">W14-W32-W38</f>
        <v>-109392.562884223</v>
      </c>
      <c r="X42" s="14" t="n">
        <f aca="false">X14-X32-X38</f>
        <v>-101832.512376169</v>
      </c>
      <c r="Y42" s="14" t="n">
        <f aca="false">Y14-Y32-Y38</f>
        <v>-93898.5083789573</v>
      </c>
    </row>
    <row r="43" customFormat="false" ht="15" hidden="false" customHeight="false" outlineLevel="0" collapsed="false">
      <c r="A43" s="5" t="s">
        <v>271</v>
      </c>
      <c r="B43" s="14" t="n">
        <f aca="false">Допущения!$B$55+B42</f>
        <v>400045.416666667</v>
      </c>
      <c r="C43" s="14" t="n">
        <f aca="false">B43+C42</f>
        <v>300090.833333333</v>
      </c>
      <c r="D43" s="14" t="n">
        <f aca="false">C43+D42</f>
        <v>205146.965</v>
      </c>
      <c r="E43" s="14" t="n">
        <f aca="false">D43+E42</f>
        <v>64396.5723629167</v>
      </c>
      <c r="F43" s="14" t="n">
        <f aca="false">E43+F42</f>
        <v>-72577.1182196961</v>
      </c>
      <c r="G43" s="14" t="n">
        <f aca="false">F43+G42</f>
        <v>-206139.372941116</v>
      </c>
      <c r="H43" s="14" t="n">
        <f aca="false">G43+H42</f>
        <v>-335551.984092589</v>
      </c>
      <c r="I43" s="14" t="n">
        <f aca="false">H43+I42</f>
        <v>-461456.798639903</v>
      </c>
      <c r="J43" s="14" t="n">
        <f aca="false">I43+J42</f>
        <v>-584167.720665427</v>
      </c>
      <c r="K43" s="14" t="n">
        <f aca="false">J43+K42</f>
        <v>-702734.490730874</v>
      </c>
      <c r="L43" s="14" t="n">
        <f aca="false">K43+L42</f>
        <v>-817928.795897143</v>
      </c>
      <c r="M43" s="14" t="n">
        <f aca="false">L43+M42</f>
        <v>-930029.245920391</v>
      </c>
      <c r="N43" s="14" t="n">
        <f aca="false">M43+N42</f>
        <v>-1087887.46013707</v>
      </c>
      <c r="O43" s="14" t="n">
        <f aca="false">N43+O42</f>
        <v>-1242417.0701766</v>
      </c>
      <c r="P43" s="14" t="n">
        <f aca="false">O43+P42</f>
        <v>-1392366.45668272</v>
      </c>
      <c r="Q43" s="14" t="n">
        <f aca="false">P43+Q42</f>
        <v>-1537208.01579039</v>
      </c>
      <c r="R43" s="14" t="n">
        <f aca="false">Q43+R42</f>
        <v>-1678067.37965853</v>
      </c>
      <c r="S43" s="14" t="n">
        <f aca="false">R43+S42</f>
        <v>-1813562.44854024</v>
      </c>
      <c r="T43" s="14" t="n">
        <f aca="false">S43+T42</f>
        <v>-1943199.76679785</v>
      </c>
      <c r="U43" s="14" t="n">
        <f aca="false">T43+U42</f>
        <v>-2066516.70823785</v>
      </c>
      <c r="V43" s="14" t="n">
        <f aca="false">U43+V42</f>
        <v>-2183077.56879558</v>
      </c>
      <c r="W43" s="14" t="n">
        <f aca="false">V43+W42</f>
        <v>-2292470.1316798</v>
      </c>
      <c r="X43" s="14" t="n">
        <f aca="false">W43+X42</f>
        <v>-2394302.64405597</v>
      </c>
      <c r="Y43" s="14" t="n">
        <f aca="false">X43+Y42</f>
        <v>-2488201.15243493</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273</v>
      </c>
    </row>
    <row r="2" customFormat="false" ht="15" hidden="false" customHeight="false" outlineLevel="0" collapsed="false">
      <c r="A2" s="2" t="s">
        <v>274</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7" t="s">
        <v>225</v>
      </c>
      <c r="B6" s="11" t="n">
        <f aca="false">Допущения!$C$17*(1+Допущения!$C$18)^0</f>
        <v>25</v>
      </c>
      <c r="C6" s="11" t="n">
        <f aca="false">Допущения!$C$17*(1+Допущения!$C$18)^1</f>
        <v>27.5</v>
      </c>
      <c r="D6" s="11" t="n">
        <f aca="false">Допущения!$C$17*(1+Допущения!$C$18)^2</f>
        <v>30.25</v>
      </c>
      <c r="E6" s="11" t="n">
        <f aca="false">Допущения!$C$17*(1+Допущения!$C$18)^3</f>
        <v>33.275</v>
      </c>
      <c r="F6" s="11" t="n">
        <f aca="false">Допущения!$C$17*(1+Допущения!$C$18)^4</f>
        <v>36.6025</v>
      </c>
      <c r="G6" s="11" t="n">
        <f aca="false">Допущения!$C$17*(1+Допущения!$C$18)^5</f>
        <v>40.26275</v>
      </c>
      <c r="H6" s="11" t="n">
        <f aca="false">Допущения!$C$17*(1+Допущения!$C$18)^6</f>
        <v>44.289025</v>
      </c>
      <c r="I6" s="11" t="n">
        <f aca="false">Допущения!$C$17*(1+Допущения!$C$18)^7</f>
        <v>48.7179275</v>
      </c>
      <c r="J6" s="11" t="n">
        <f aca="false">Допущения!$C$17*(1+Допущения!$C$18)^8</f>
        <v>53.58972025</v>
      </c>
      <c r="K6" s="11" t="n">
        <f aca="false">Допущения!$C$17*(1+Допущения!$C$18)^9</f>
        <v>58.9486922750001</v>
      </c>
      <c r="L6" s="11" t="n">
        <f aca="false">Допущения!$C$17*(1+Допущения!$C$18)^10</f>
        <v>64.8435615025001</v>
      </c>
      <c r="M6" s="11" t="n">
        <f aca="false">Допущения!$C$17*(1+Допущения!$C$18)^11</f>
        <v>71.3279176527501</v>
      </c>
      <c r="N6" s="11" t="n">
        <f aca="false">Допущения!$C$17*(1+Допущения!$C$18)^12</f>
        <v>78.4607094180251</v>
      </c>
      <c r="O6" s="11" t="n">
        <f aca="false">Допущения!$C$17*(1+Допущения!$C$18)^13</f>
        <v>86.3067803598276</v>
      </c>
      <c r="P6" s="11" t="n">
        <f aca="false">Допущения!$C$17*(1+Допущения!$C$18)^14</f>
        <v>94.9374583958104</v>
      </c>
      <c r="Q6" s="11" t="n">
        <f aca="false">Допущения!$C$17*(1+Допущения!$C$18)^15</f>
        <v>104.431204235391</v>
      </c>
      <c r="R6" s="11" t="n">
        <f aca="false">Допущения!$C$17*(1+Допущения!$C$18)^16</f>
        <v>114.874324658931</v>
      </c>
      <c r="S6" s="11" t="n">
        <f aca="false">Допущения!$C$17*(1+Допущения!$C$18)^17</f>
        <v>126.361757124824</v>
      </c>
      <c r="T6" s="11" t="n">
        <f aca="false">Допущения!$C$17*(1+Допущения!$C$18)^18</f>
        <v>138.997932837306</v>
      </c>
      <c r="U6" s="11" t="n">
        <f aca="false">Допущения!$C$17*(1+Допущения!$C$18)^19</f>
        <v>152.897726121037</v>
      </c>
      <c r="V6" s="11" t="n">
        <f aca="false">Допущения!$C$17*(1+Допущения!$C$18)^20</f>
        <v>168.18749873314</v>
      </c>
      <c r="W6" s="11" t="n">
        <f aca="false">Допущения!$C$17*(1+Допущения!$C$18)^21</f>
        <v>185.006248606454</v>
      </c>
      <c r="X6" s="11" t="n">
        <f aca="false">Допущения!$C$17*(1+Допущения!$C$18)^22</f>
        <v>203.5068734671</v>
      </c>
      <c r="Y6" s="11" t="n">
        <f aca="false">Допущения!$C$17*(1+Допущения!$C$18)^23</f>
        <v>223.85756081381</v>
      </c>
    </row>
    <row r="7" customFormat="false" ht="22.35" hidden="false" customHeight="false" outlineLevel="0" collapsed="false">
      <c r="A7" s="17" t="s">
        <v>226</v>
      </c>
      <c r="B7" s="11" t="n">
        <f aca="false">Допущения!$C$35/Допущения!$C$19</f>
        <v>37.5</v>
      </c>
      <c r="C7" s="11" t="n">
        <f aca="false">Допущения!$C$35/Допущения!$C$19</f>
        <v>37.5</v>
      </c>
      <c r="D7" s="11" t="n">
        <f aca="false">Допущения!$C$35/Допущения!$C$19</f>
        <v>37.5</v>
      </c>
      <c r="E7" s="11" t="n">
        <f aca="false">Допущения!$C$35/Допущения!$C$19</f>
        <v>37.5</v>
      </c>
      <c r="F7" s="11" t="n">
        <f aca="false">Допущения!$C$35/Допущения!$C$19</f>
        <v>37.5</v>
      </c>
      <c r="G7" s="11" t="n">
        <f aca="false">Допущения!$C$35/Допущения!$C$19</f>
        <v>37.5</v>
      </c>
      <c r="H7" s="11" t="n">
        <f aca="false">Допущения!$C$35/Допущения!$C$19</f>
        <v>37.5</v>
      </c>
      <c r="I7" s="11" t="n">
        <f aca="false">Допущения!$C$35/Допущения!$C$19</f>
        <v>37.5</v>
      </c>
      <c r="J7" s="11" t="n">
        <f aca="false">Допущения!$C$35/Допущения!$C$19</f>
        <v>37.5</v>
      </c>
      <c r="K7" s="11" t="n">
        <f aca="false">Допущения!$C$35/Допущения!$C$19</f>
        <v>37.5</v>
      </c>
      <c r="L7" s="11" t="n">
        <f aca="false">Допущения!$C$35/Допущения!$C$19</f>
        <v>37.5</v>
      </c>
      <c r="M7" s="11" t="n">
        <f aca="false">Допущения!$C$35/Допущения!$C$19</f>
        <v>37.5</v>
      </c>
      <c r="N7" s="11" t="n">
        <f aca="false">Допущения!$C$35/Допущения!$C$19</f>
        <v>37.5</v>
      </c>
      <c r="O7" s="11" t="n">
        <f aca="false">Допущения!$C$35/Допущения!$C$19</f>
        <v>37.5</v>
      </c>
      <c r="P7" s="11" t="n">
        <f aca="false">Допущения!$C$35/Допущения!$C$19</f>
        <v>37.5</v>
      </c>
      <c r="Q7" s="11" t="n">
        <f aca="false">Допущения!$C$35/Допущения!$C$19</f>
        <v>37.5</v>
      </c>
      <c r="R7" s="11" t="n">
        <f aca="false">Допущения!$C$35/Допущения!$C$19</f>
        <v>37.5</v>
      </c>
      <c r="S7" s="11" t="n">
        <f aca="false">Допущения!$C$35/Допущения!$C$19</f>
        <v>37.5</v>
      </c>
      <c r="T7" s="11" t="n">
        <f aca="false">Допущения!$C$35/Допущения!$C$19</f>
        <v>37.5</v>
      </c>
      <c r="U7" s="11" t="n">
        <f aca="false">Допущения!$C$35/Допущения!$C$19</f>
        <v>37.5</v>
      </c>
      <c r="V7" s="11" t="n">
        <f aca="false">Допущения!$C$35/Допущения!$C$19</f>
        <v>37.5</v>
      </c>
      <c r="W7" s="11" t="n">
        <f aca="false">Допущения!$C$35/Допущения!$C$19</f>
        <v>37.5</v>
      </c>
      <c r="X7" s="11" t="n">
        <f aca="false">Допущения!$C$35/Допущения!$C$19</f>
        <v>37.5</v>
      </c>
      <c r="Y7" s="11" t="n">
        <f aca="false">Допущения!$C$35/Допущения!$C$19</f>
        <v>37.5</v>
      </c>
      <c r="Z7" s="8" t="s">
        <v>227</v>
      </c>
    </row>
    <row r="8" customFormat="false" ht="32.8" hidden="false" customHeight="false" outlineLevel="0" collapsed="false">
      <c r="A8" s="17" t="s">
        <v>228</v>
      </c>
      <c r="B8" s="11" t="n">
        <f aca="false">ROUND((B6+B7)*1,0)</f>
        <v>63</v>
      </c>
      <c r="C8" s="11" t="n">
        <f aca="false">ROUND((C6+C7)*MAX(0,1-B5/Допущения!$C$15),0)</f>
        <v>65</v>
      </c>
      <c r="D8" s="11" t="n">
        <f aca="false">ROUND((D6+D7)*MAX(0,1-C5/Допущения!$C$15),0)</f>
        <v>67</v>
      </c>
      <c r="E8" s="11" t="n">
        <f aca="false">ROUND((E6+E7)*MAX(0,1-D5/Допущения!$C$15),0)</f>
        <v>70</v>
      </c>
      <c r="F8" s="11" t="n">
        <f aca="false">ROUND((F6+F7)*MAX(0,1-E5/Допущения!$C$15),0)</f>
        <v>73</v>
      </c>
      <c r="G8" s="11" t="n">
        <f aca="false">ROUND((G6+G7)*MAX(0,1-F5/Допущения!$C$15),0)</f>
        <v>77</v>
      </c>
      <c r="H8" s="11" t="n">
        <f aca="false">ROUND((H6+H7)*MAX(0,1-G5/Допущения!$C$15),0)</f>
        <v>80</v>
      </c>
      <c r="I8" s="11" t="n">
        <f aca="false">ROUND((I6+I7)*MAX(0,1-H5/Допущения!$C$15),0)</f>
        <v>85</v>
      </c>
      <c r="J8" s="11" t="n">
        <f aca="false">ROUND((J6+J7)*MAX(0,1-I5/Допущения!$C$15),0)</f>
        <v>89</v>
      </c>
      <c r="K8" s="11" t="n">
        <f aca="false">ROUND((K6+K7)*MAX(0,1-J5/Допущения!$C$15),0)</f>
        <v>94</v>
      </c>
      <c r="L8" s="11" t="n">
        <f aca="false">ROUND((L6+L7)*MAX(0,1-K5/Допущения!$C$15),0)</f>
        <v>99</v>
      </c>
      <c r="M8" s="11" t="n">
        <f aca="false">ROUND((M6+M7)*MAX(0,1-L5/Допущения!$C$15),0)</f>
        <v>105</v>
      </c>
      <c r="N8" s="11" t="n">
        <f aca="false">ROUND((N6+N7)*MAX(0,1-M5/Допущения!$C$15),0)</f>
        <v>111</v>
      </c>
      <c r="O8" s="11" t="n">
        <f aca="false">ROUND((O6+O7)*MAX(0,1-N5/Допущения!$C$15),0)</f>
        <v>118</v>
      </c>
      <c r="P8" s="11" t="n">
        <f aca="false">ROUND((P6+P7)*MAX(0,1-O5/Допущения!$C$15),0)</f>
        <v>126</v>
      </c>
      <c r="Q8" s="11" t="n">
        <f aca="false">ROUND((Q6+Q7)*MAX(0,1-P5/Допущения!$C$15),0)</f>
        <v>134</v>
      </c>
      <c r="R8" s="11" t="n">
        <f aca="false">ROUND((R6+R7)*MAX(0,1-Q5/Допущения!$C$15),0)</f>
        <v>144</v>
      </c>
      <c r="S8" s="11" t="n">
        <f aca="false">ROUND((S6+S7)*MAX(0,1-R5/Допущения!$C$15),0)</f>
        <v>153</v>
      </c>
      <c r="T8" s="11" t="n">
        <f aca="false">ROUND((T6+T7)*MAX(0,1-S5/Допущения!$C$15),0)</f>
        <v>164</v>
      </c>
      <c r="U8" s="11" t="n">
        <f aca="false">ROUND((U6+U7)*MAX(0,1-T5/Допущения!$C$15),0)</f>
        <v>176</v>
      </c>
      <c r="V8" s="11" t="n">
        <f aca="false">ROUND((V6+V7)*MAX(0,1-U5/Допущения!$C$15),0)</f>
        <v>188</v>
      </c>
      <c r="W8" s="11" t="n">
        <f aca="false">ROUND((W6+W7)*MAX(0,1-V5/Допущения!$C$15),0)</f>
        <v>202</v>
      </c>
      <c r="X8" s="11" t="n">
        <f aca="false">ROUND((X6+X7)*MAX(0,1-W5/Допущения!$C$15),0)</f>
        <v>217</v>
      </c>
      <c r="Y8" s="11" t="n">
        <f aca="false">ROUND((Y6+Y7)*MAX(0,1-X5/Допущения!$C$15),0)</f>
        <v>233</v>
      </c>
      <c r="Z8" s="8" t="s">
        <v>229</v>
      </c>
    </row>
    <row r="9" customFormat="false" ht="15" hidden="false" customHeight="false" outlineLevel="0" collapsed="false">
      <c r="A9" s="17" t="s">
        <v>230</v>
      </c>
      <c r="B9" s="11" t="n">
        <f aca="false">IF(COLUMN()-1-Допущения!$C$21&lt;1,0,IFERROR(ROUND(INDEX($B$8:$Y$8,1,COLUMN()-1-Допущения!$C$21)*Допущения!$C$20,0),0))</f>
        <v>0</v>
      </c>
      <c r="C9" s="11" t="n">
        <f aca="false">IF(COLUMN()-1-Допущения!$C$21&lt;1,0,IFERROR(ROUND(INDEX($B$8:$Y$8,1,COLUMN()-1-Допущения!$C$21)*Допущения!$C$20,0),0))</f>
        <v>0</v>
      </c>
      <c r="D9" s="11" t="n">
        <f aca="false">IF(COLUMN()-1-Допущения!$C$21&lt;1,0,IFERROR(ROUND(INDEX($B$8:$Y$8,1,COLUMN()-1-Допущения!$C$21)*Допущения!$C$20,0),0))</f>
        <v>4</v>
      </c>
      <c r="E9" s="11" t="n">
        <f aca="false">IF(COLUMN()-1-Допущения!$C$21&lt;1,0,IFERROR(ROUND(INDEX($B$8:$Y$8,1,COLUMN()-1-Допущения!$C$21)*Допущения!$C$20,0),0))</f>
        <v>5</v>
      </c>
      <c r="F9" s="11" t="n">
        <f aca="false">IF(COLUMN()-1-Допущения!$C$21&lt;1,0,IFERROR(ROUND(INDEX($B$8:$Y$8,1,COLUMN()-1-Допущения!$C$21)*Допущения!$C$20,0),0))</f>
        <v>5</v>
      </c>
      <c r="G9" s="11" t="n">
        <f aca="false">IF(COLUMN()-1-Допущения!$C$21&lt;1,0,IFERROR(ROUND(INDEX($B$8:$Y$8,1,COLUMN()-1-Допущения!$C$21)*Допущения!$C$20,0),0))</f>
        <v>5</v>
      </c>
      <c r="H9" s="11" t="n">
        <f aca="false">IF(COLUMN()-1-Допущения!$C$21&lt;1,0,IFERROR(ROUND(INDEX($B$8:$Y$8,1,COLUMN()-1-Допущения!$C$21)*Допущения!$C$20,0),0))</f>
        <v>5</v>
      </c>
      <c r="I9" s="11" t="n">
        <f aca="false">IF(COLUMN()-1-Допущения!$C$21&lt;1,0,IFERROR(ROUND(INDEX($B$8:$Y$8,1,COLUMN()-1-Допущения!$C$21)*Допущения!$C$20,0),0))</f>
        <v>5</v>
      </c>
      <c r="J9" s="11" t="n">
        <f aca="false">IF(COLUMN()-1-Допущения!$C$21&lt;1,0,IFERROR(ROUND(INDEX($B$8:$Y$8,1,COLUMN()-1-Допущения!$C$21)*Допущения!$C$20,0),0))</f>
        <v>6</v>
      </c>
      <c r="K9" s="11" t="n">
        <f aca="false">IF(COLUMN()-1-Допущения!$C$21&lt;1,0,IFERROR(ROUND(INDEX($B$8:$Y$8,1,COLUMN()-1-Допущения!$C$21)*Допущения!$C$20,0),0))</f>
        <v>6</v>
      </c>
      <c r="L9" s="11" t="n">
        <f aca="false">IF(COLUMN()-1-Допущения!$C$21&lt;1,0,IFERROR(ROUND(INDEX($B$8:$Y$8,1,COLUMN()-1-Допущения!$C$21)*Допущения!$C$20,0),0))</f>
        <v>6</v>
      </c>
      <c r="M9" s="11" t="n">
        <f aca="false">IF(COLUMN()-1-Допущения!$C$21&lt;1,0,IFERROR(ROUND(INDEX($B$8:$Y$8,1,COLUMN()-1-Допущения!$C$21)*Допущения!$C$20,0),0))</f>
        <v>7</v>
      </c>
      <c r="N9" s="11" t="n">
        <f aca="false">IF(COLUMN()-1-Допущения!$C$21&lt;1,0,IFERROR(ROUND(INDEX($B$8:$Y$8,1,COLUMN()-1-Допущения!$C$21)*Допущения!$C$20,0),0))</f>
        <v>7</v>
      </c>
      <c r="O9" s="11" t="n">
        <f aca="false">IF(COLUMN()-1-Допущения!$C$21&lt;1,0,IFERROR(ROUND(INDEX($B$8:$Y$8,1,COLUMN()-1-Допущения!$C$21)*Допущения!$C$20,0),0))</f>
        <v>7</v>
      </c>
      <c r="P9" s="11" t="n">
        <f aca="false">IF(COLUMN()-1-Допущения!$C$21&lt;1,0,IFERROR(ROUND(INDEX($B$8:$Y$8,1,COLUMN()-1-Допущения!$C$21)*Допущения!$C$20,0),0))</f>
        <v>8</v>
      </c>
      <c r="Q9" s="11" t="n">
        <f aca="false">IF(COLUMN()-1-Допущения!$C$21&lt;1,0,IFERROR(ROUND(INDEX($B$8:$Y$8,1,COLUMN()-1-Допущения!$C$21)*Допущения!$C$20,0),0))</f>
        <v>8</v>
      </c>
      <c r="R9" s="11" t="n">
        <f aca="false">IF(COLUMN()-1-Допущения!$C$21&lt;1,0,IFERROR(ROUND(INDEX($B$8:$Y$8,1,COLUMN()-1-Допущения!$C$21)*Допущения!$C$20,0),0))</f>
        <v>9</v>
      </c>
      <c r="S9" s="11" t="n">
        <f aca="false">IF(COLUMN()-1-Допущения!$C$21&lt;1,0,IFERROR(ROUND(INDEX($B$8:$Y$8,1,COLUMN()-1-Допущения!$C$21)*Допущения!$C$20,0),0))</f>
        <v>9</v>
      </c>
      <c r="T9" s="11" t="n">
        <f aca="false">IF(COLUMN()-1-Допущения!$C$21&lt;1,0,IFERROR(ROUND(INDEX($B$8:$Y$8,1,COLUMN()-1-Допущения!$C$21)*Допущения!$C$20,0),0))</f>
        <v>10</v>
      </c>
      <c r="U9" s="11" t="n">
        <f aca="false">IF(COLUMN()-1-Допущения!$C$21&lt;1,0,IFERROR(ROUND(INDEX($B$8:$Y$8,1,COLUMN()-1-Допущения!$C$21)*Допущения!$C$20,0),0))</f>
        <v>11</v>
      </c>
      <c r="V9" s="11" t="n">
        <f aca="false">IF(COLUMN()-1-Допущения!$C$21&lt;1,0,IFERROR(ROUND(INDEX($B$8:$Y$8,1,COLUMN()-1-Допущения!$C$21)*Допущения!$C$20,0),0))</f>
        <v>11</v>
      </c>
      <c r="W9" s="11" t="n">
        <f aca="false">IF(COLUMN()-1-Допущения!$C$21&lt;1,0,IFERROR(ROUND(INDEX($B$8:$Y$8,1,COLUMN()-1-Допущения!$C$21)*Допущения!$C$20,0),0))</f>
        <v>12</v>
      </c>
      <c r="X9" s="11" t="n">
        <f aca="false">IF(COLUMN()-1-Допущения!$C$21&lt;1,0,IFERROR(ROUND(INDEX($B$8:$Y$8,1,COLUMN()-1-Допущения!$C$21)*Допущения!$C$20,0),0))</f>
        <v>13</v>
      </c>
      <c r="Y9" s="11" t="n">
        <f aca="false">IF(COLUMN()-1-Допущения!$C$21&lt;1,0,IFERROR(ROUND(INDEX($B$8:$Y$8,1,COLUMN()-1-Допущения!$C$21)*Допущения!$C$20,0),0))</f>
        <v>14</v>
      </c>
      <c r="Z9" s="8" t="s">
        <v>231</v>
      </c>
    </row>
    <row r="10" customFormat="false" ht="22.35" hidden="false" customHeight="false" outlineLevel="0" collapsed="false">
      <c r="A10" s="17" t="s">
        <v>232</v>
      </c>
      <c r="B10" s="11" t="n">
        <f aca="false">MIN(Допущения!$C$56+B9,Допущения!$C$15*Допущения!$C$16)</f>
        <v>0</v>
      </c>
      <c r="C10" s="11" t="n">
        <f aca="false">MIN(B10*(1-Допущения!$C$12*(1-Допущения!$C$10*1/24))+C9,Допущения!$C$15*Допущения!$C$16)</f>
        <v>0</v>
      </c>
      <c r="D10" s="11" t="n">
        <f aca="false">MIN(C10*(1-Допущения!$C$12*(1-Допущения!$C$10*2/24))+D9,Допущения!$C$15*Допущения!$C$16)</f>
        <v>4</v>
      </c>
      <c r="E10" s="11" t="n">
        <f aca="false">MIN(D10*(1-Допущения!$C$12*(1-Допущения!$C$10*3/24))+E9,Допущения!$C$15*Допущения!$C$16)</f>
        <v>8.611</v>
      </c>
      <c r="F10" s="11" t="n">
        <f aca="false">MIN(E10*(1-Допущения!$C$12*(1-Допущения!$C$10*4/24))+F9,Допущения!$C$15*Допущения!$C$16)</f>
        <v>12.7814736666667</v>
      </c>
      <c r="G10" s="11" t="n">
        <f aca="false">MIN(F10*(1-Допущения!$C$12*(1-Допущения!$C$10*5/24))+G9,Допущения!$C$15*Допущения!$C$16)</f>
        <v>16.5619080543056</v>
      </c>
      <c r="H10" s="11" t="n">
        <f aca="false">MIN(G10*(1-Допущения!$C$12*(1-Допущения!$C$10*6/24))+H9,Допущения!$C$15*Допущения!$C$16)</f>
        <v>19.9968077431737</v>
      </c>
      <c r="I10" s="11" t="n">
        <f aca="false">MIN(H10*(1-Допущения!$C$12*(1-Допущения!$C$10*7/24))+I9,Допущения!$C$15*Допущения!$C$16)</f>
        <v>23.1254398185417</v>
      </c>
      <c r="J10" s="11" t="n">
        <f aca="false">MIN(I10*(1-Допущения!$C$12*(1-Допущения!$C$10*8/24))+J9,Допущения!$C$15*Допущения!$C$16)</f>
        <v>26.9824823953568</v>
      </c>
      <c r="K10" s="11" t="n">
        <f aca="false">MIN(J10*(1-Допущения!$C$12*(1-Допущения!$C$10*9/24))+K9,Допущения!$C$15*Допущения!$C$16)</f>
        <v>30.5068396355828</v>
      </c>
      <c r="L10" s="11" t="n">
        <f aca="false">MIN(K10*(1-Допущения!$C$12*(1-Допущения!$C$10*10/24))+L9,Допущения!$C$15*Допущения!$C$16)</f>
        <v>33.7358017020174</v>
      </c>
      <c r="M10" s="11" t="n">
        <f aca="false">MIN(L10*(1-Допущения!$C$12*(1-Допущения!$C$10*11/24))+M9,Допущения!$C$15*Допущения!$C$16)</f>
        <v>37.7023908656443</v>
      </c>
      <c r="N10" s="11" t="n">
        <f aca="false">MIN(M10*(1-Допущения!$C$12*(1-Допущения!$C$10*12/24))+N9,Допущения!$C$15*Допущения!$C$16)</f>
        <v>41.346878078602</v>
      </c>
      <c r="O10" s="11" t="n">
        <f aca="false">MIN(N10*(1-Допущения!$C$12*(1-Допущения!$C$10*13/24))+O9,Допущения!$C$15*Допущения!$C$16)</f>
        <v>44.7049072345118</v>
      </c>
      <c r="P10" s="11" t="n">
        <f aca="false">MIN(O10*(1-Допущения!$C$12*(1-Допущения!$C$10*14/24))+P9,Допущения!$C$15*Допущения!$C$16)</f>
        <v>48.8081294872369</v>
      </c>
      <c r="Q10" s="11" t="n">
        <f aca="false">MIN(P10*(1-Допущения!$C$12*(1-Допущения!$C$10*15/24))+Q9,Допущения!$C$15*Допущения!$C$16)</f>
        <v>52.5984283189627</v>
      </c>
      <c r="R10" s="11" t="n">
        <f aca="false">MIN(Q10*(1-Допущения!$C$12*(1-Допущения!$C$10*16/24))+R9,Допущения!$C$15*Допущения!$C$16)</f>
        <v>57.1100291024112</v>
      </c>
      <c r="S10" s="11" t="n">
        <f aca="false">MIN(R10*(1-Допущения!$C$12*(1-Допущения!$C$10*17/24))+S9,Допущения!$C$15*Допущения!$C$16)</f>
        <v>61.2889908123493</v>
      </c>
      <c r="T10" s="11" t="n">
        <f aca="false">MIN(S10*(1-Допущения!$C$12*(1-Допущения!$C$10*18/24))+T9,Допущения!$C$15*Допущения!$C$16)</f>
        <v>66.1713600795181</v>
      </c>
      <c r="U10" s="11" t="n">
        <f aca="false">MIN(T10*(1-Допущения!$C$12*(1-Допущения!$C$10*19/24))+U9,Допущения!$C$15*Допущения!$C$16)</f>
        <v>71.7067085929513</v>
      </c>
      <c r="V10" s="11" t="n">
        <f aca="false">MIN(U10*(1-Допущения!$C$12*(1-Допущения!$C$10*20/24))+V9,Допущения!$C$15*Допущения!$C$16)</f>
        <v>76.8506607245269</v>
      </c>
      <c r="W10" s="11" t="n">
        <f aca="false">MIN(V10*(1-Допущения!$C$12*(1-Допущения!$C$10*21/24))+W9,Допущения!$C$15*Допущения!$C$16)</f>
        <v>82.6449698710214</v>
      </c>
      <c r="X10" s="11" t="n">
        <f aca="false">MIN(W10*(1-Допущения!$C$12*(1-Допущения!$C$10*22/24))+X9,Допущения!$C$15*Допущения!$C$16)</f>
        <v>89.0471464429848</v>
      </c>
      <c r="Y10" s="11" t="n">
        <f aca="false">MIN(X10*(1-Допущения!$C$12*(1-Допущения!$C$10*23/24))+Y9,Допущения!$C$15*Допущения!$C$16)</f>
        <v>96.0198424695259</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B10*(Допущения!$C$8*(1-Допущения!$C$10*0/24)+Допущения!$C$9/12*Допущения!$C$10*0/24)</f>
        <v>0</v>
      </c>
      <c r="C12" s="7" t="n">
        <f aca="false">C10*(Допущения!$C$8*(1-Допущения!$C$10*1/24)+Допущения!$C$9/12*Допущения!$C$10*1/24)</f>
        <v>0</v>
      </c>
      <c r="D12" s="7" t="n">
        <f aca="false">D10*(Допущения!$C$8*(1-Допущения!$C$10*2/24)+Допущения!$C$9/12*Допущения!$C$10*2/24)</f>
        <v>3947.9</v>
      </c>
      <c r="E12" s="7" t="n">
        <f aca="false">E10*(Допущения!$C$8*(1-Допущения!$C$10*3/24)+Допущения!$C$9/12*Допущения!$C$10*3/24)</f>
        <v>8485.8175875</v>
      </c>
      <c r="F12" s="7" t="n">
        <f aca="false">F10*(Допущения!$C$8*(1-Допущения!$C$10*4/24)+Допущения!$C$9/12*Допущения!$C$10*4/24)</f>
        <v>12576.3310143167</v>
      </c>
      <c r="G12" s="7" t="n">
        <f aca="false">G10*(Допущения!$C$8*(1-Допущения!$C$10*5/24)+Допущения!$C$9/12*Допущения!$C$10*5/24)</f>
        <v>16271.0395441018</v>
      </c>
      <c r="H12" s="7" t="n">
        <f aca="false">H10*(Допущения!$C$8*(1-Допущения!$C$10*6/24)+Допущения!$C$9/12*Допущения!$C$10*6/24)</f>
        <v>19615.3686354726</v>
      </c>
      <c r="I12" s="7" t="n">
        <f aca="false">I10*(Допущения!$C$8*(1-Допущения!$C$10*7/24)+Допущения!$C$9/12*Допущения!$C$10*7/24)</f>
        <v>22649.3448262774</v>
      </c>
      <c r="J12" s="7" t="n">
        <f aca="false">J10*(Допущения!$C$8*(1-Допущения!$C$10*8/24)+Допущения!$C$9/12*Допущения!$C$10*8/24)</f>
        <v>26386.1695344194</v>
      </c>
      <c r="K12" s="7" t="n">
        <f aca="false">K10*(Допущения!$C$8*(1-Допущения!$C$10*9/24)+Допущения!$C$9/12*Допущения!$C$10*9/24)</f>
        <v>29786.4968846876</v>
      </c>
      <c r="L12" s="7" t="n">
        <f aca="false">L10*(Допущения!$C$8*(1-Допущения!$C$10*10/24)+Допущения!$C$9/12*Допущения!$C$10*10/24)</f>
        <v>32888.1896842542</v>
      </c>
      <c r="M12" s="7" t="n">
        <f aca="false">M10*(Допущения!$C$8*(1-Допущения!$C$10*11/24)+Допущения!$C$9/12*Допущения!$C$10*11/24)</f>
        <v>36698.0934289607</v>
      </c>
      <c r="N12" s="7" t="n">
        <f aca="false">N10*(Допущения!$C$8*(1-Допущения!$C$10*12/24)+Допущения!$C$9/12*Допущения!$C$10*12/24)</f>
        <v>40182.9634606893</v>
      </c>
      <c r="O12" s="7" t="n">
        <f aca="false">O10*(Допущения!$C$8*(1-Допущения!$C$10*13/24)+Допущения!$C$9/12*Допущения!$C$10*13/24)</f>
        <v>43378.8479236681</v>
      </c>
      <c r="P12" s="7" t="n">
        <f aca="false">P10*(Допущения!$C$8*(1-Допущения!$C$10*14/24)+Допущения!$C$9/12*Допущения!$C$10*14/24)</f>
        <v>47286.5360504722</v>
      </c>
      <c r="Q12" s="7" t="n">
        <f aca="false">Q10*(Допущения!$C$8*(1-Допущения!$C$10*15/24)+Допущения!$C$9/12*Допущения!$C$10*15/24)</f>
        <v>50879.1171932866</v>
      </c>
      <c r="R12" s="7" t="n">
        <f aca="false">R10*(Допущения!$C$8*(1-Допущения!$C$10*16/24)+Допущения!$C$9/12*Допущения!$C$10*16/24)</f>
        <v>55156.8661071087</v>
      </c>
      <c r="S12" s="7" t="n">
        <f aca="false">S10*(Допущения!$C$8*(1-Допущения!$C$10*17/24)+Допущения!$C$9/12*Допущения!$C$10*17/24)</f>
        <v>59100.2077279633</v>
      </c>
      <c r="T12" s="7" t="n">
        <f aca="false">T10*(Допущения!$C$8*(1-Допущения!$C$10*18/24)+Допущения!$C$9/12*Допущения!$C$10*18/24)</f>
        <v>63708.1312005581</v>
      </c>
      <c r="U12" s="7" t="n">
        <f aca="false">U10*(Допущения!$C$8*(1-Допущения!$C$10*19/24)+Допущения!$C$9/12*Допущения!$C$10*19/24)</f>
        <v>68928.9699688318</v>
      </c>
      <c r="V12" s="7" t="n">
        <f aca="false">V10*(Допущения!$C$8*(1-Допущения!$C$10*20/24)+Допущения!$C$9/12*Допущения!$C$10*20/24)</f>
        <v>73757.4216303647</v>
      </c>
      <c r="W12" s="7" t="n">
        <f aca="false">W10*(Допущения!$C$8*(1-Допущения!$C$10*21/24)+Допущения!$C$9/12*Допущения!$C$10*21/24)</f>
        <v>79193.5093167828</v>
      </c>
      <c r="X12" s="7" t="n">
        <f aca="false">X10*(Допущения!$C$8*(1-Допущения!$C$10*22/24)+Допущения!$C$9/12*Допущения!$C$10*22/24)</f>
        <v>85193.6311806647</v>
      </c>
      <c r="Y12" s="7" t="n">
        <f aca="false">Y10*(Допущения!$C$8*(1-Допущения!$C$10*23/24)+Допущения!$C$9/12*Допущения!$C$10*23/24)</f>
        <v>91719.353774922</v>
      </c>
      <c r="Z12" s="8" t="s">
        <v>236</v>
      </c>
    </row>
    <row r="13" customFormat="false" ht="15" hidden="false" customHeight="false" outlineLevel="0" collapsed="false">
      <c r="A13" s="17" t="s">
        <v>237</v>
      </c>
      <c r="B13" s="7" t="n">
        <f aca="false">B9*Допущения!$C$10*0/24*Допущения!$C$9</f>
        <v>0</v>
      </c>
      <c r="C13" s="7" t="n">
        <f aca="false">C9*Допущения!$C$10*1/24*Допущения!$C$9</f>
        <v>0</v>
      </c>
      <c r="D13" s="7" t="n">
        <f aca="false">D9*Допущения!$C$10*2/24*Допущения!$C$9</f>
        <v>726</v>
      </c>
      <c r="E13" s="7" t="n">
        <f aca="false">E9*Допущения!$C$10*3/24*Допущения!$C$9</f>
        <v>1361.25</v>
      </c>
      <c r="F13" s="7" t="n">
        <f aca="false">F9*Допущения!$C$10*4/24*Допущения!$C$9</f>
        <v>1815</v>
      </c>
      <c r="G13" s="7" t="n">
        <f aca="false">G9*Допущения!$C$10*5/24*Допущения!$C$9</f>
        <v>2268.75</v>
      </c>
      <c r="H13" s="7" t="n">
        <f aca="false">H9*Допущения!$C$10*6/24*Допущения!$C$9</f>
        <v>2722.5</v>
      </c>
      <c r="I13" s="7" t="n">
        <f aca="false">I9*Допущения!$C$10*7/24*Допущения!$C$9</f>
        <v>3176.25</v>
      </c>
      <c r="J13" s="7" t="n">
        <f aca="false">J9*Допущения!$C$10*8/24*Допущения!$C$9</f>
        <v>4356</v>
      </c>
      <c r="K13" s="7" t="n">
        <f aca="false">K9*Допущения!$C$10*9/24*Допущения!$C$9</f>
        <v>4900.5</v>
      </c>
      <c r="L13" s="7" t="n">
        <f aca="false">L9*Допущения!$C$10*10/24*Допущения!$C$9</f>
        <v>5445</v>
      </c>
      <c r="M13" s="7" t="n">
        <f aca="false">M9*Допущения!$C$10*11/24*Допущения!$C$9</f>
        <v>6987.75</v>
      </c>
      <c r="N13" s="7" t="n">
        <f aca="false">N9*Допущения!$C$10*12/24*Допущения!$C$9</f>
        <v>7623</v>
      </c>
      <c r="O13" s="7" t="n">
        <f aca="false">O9*Допущения!$C$10*13/24*Допущения!$C$9</f>
        <v>8258.25</v>
      </c>
      <c r="P13" s="7" t="n">
        <f aca="false">P9*Допущения!$C$10*14/24*Допущения!$C$9</f>
        <v>10164</v>
      </c>
      <c r="Q13" s="7" t="n">
        <f aca="false">Q9*Допущения!$C$10*15/24*Допущения!$C$9</f>
        <v>10890</v>
      </c>
      <c r="R13" s="7" t="n">
        <f aca="false">R9*Допущения!$C$10*16/24*Допущения!$C$9</f>
        <v>13068</v>
      </c>
      <c r="S13" s="7" t="n">
        <f aca="false">S9*Допущения!$C$10*17/24*Допущения!$C$9</f>
        <v>13884.75</v>
      </c>
      <c r="T13" s="7" t="n">
        <f aca="false">T9*Допущения!$C$10*18/24*Допущения!$C$9</f>
        <v>16335</v>
      </c>
      <c r="U13" s="7" t="n">
        <f aca="false">U9*Допущения!$C$10*19/24*Допущения!$C$9</f>
        <v>18966.75</v>
      </c>
      <c r="V13" s="7" t="n">
        <f aca="false">V9*Допущения!$C$10*20/24*Допущения!$C$9</f>
        <v>19965</v>
      </c>
      <c r="W13" s="7" t="n">
        <f aca="false">W9*Допущения!$C$10*21/24*Допущения!$C$9</f>
        <v>22869</v>
      </c>
      <c r="X13" s="7" t="n">
        <f aca="false">X9*Допущения!$C$10*22/24*Допущения!$C$9</f>
        <v>25954.5</v>
      </c>
      <c r="Y13" s="7" t="n">
        <f aca="false">Y9*Допущения!$C$10*23/24*Допущения!$C$9</f>
        <v>29221.5</v>
      </c>
      <c r="Z13" s="8" t="s">
        <v>238</v>
      </c>
    </row>
    <row r="14" customFormat="false" ht="15" hidden="false" customHeight="false" outlineLevel="0" collapsed="false">
      <c r="A14" s="17" t="s">
        <v>239</v>
      </c>
      <c r="B14" s="7" t="n">
        <f aca="false">B12+B13-B9*Допущения!$C$10*0/24*Допущения!$C$9/12</f>
        <v>0</v>
      </c>
      <c r="C14" s="7" t="n">
        <f aca="false">C12+C13-C9*Допущения!$C$10*1/24*Допущения!$C$9/12</f>
        <v>0</v>
      </c>
      <c r="D14" s="7" t="n">
        <f aca="false">D12+D13-D9*Допущения!$C$10*2/24*Допущения!$C$9/12</f>
        <v>4613.4</v>
      </c>
      <c r="E14" s="7" t="n">
        <f aca="false">E12+E13-E9*Допущения!$C$10*3/24*Допущения!$C$9/12</f>
        <v>9733.6300875</v>
      </c>
      <c r="F14" s="7" t="n">
        <f aca="false">F12+F13-F9*Допущения!$C$10*4/24*Допущения!$C$9/12</f>
        <v>14240.0810143167</v>
      </c>
      <c r="G14" s="7" t="n">
        <f aca="false">G12+G13-G9*Допущения!$C$10*5/24*Допущения!$C$9/12</f>
        <v>18350.7270441018</v>
      </c>
      <c r="H14" s="7" t="n">
        <f aca="false">H12+H13-H9*Допущения!$C$10*6/24*Допущения!$C$9/12</f>
        <v>22110.9936354726</v>
      </c>
      <c r="I14" s="7" t="n">
        <f aca="false">I12+I13-I9*Допущения!$C$10*7/24*Допущения!$C$9/12</f>
        <v>25560.9073262774</v>
      </c>
      <c r="J14" s="7" t="n">
        <f aca="false">J12+J13-J9*Допущения!$C$10*8/24*Допущения!$C$9/12</f>
        <v>30379.1695344194</v>
      </c>
      <c r="K14" s="7" t="n">
        <f aca="false">K12+K13-K9*Допущения!$C$10*9/24*Допущения!$C$9/12</f>
        <v>34278.6218846876</v>
      </c>
      <c r="L14" s="7" t="n">
        <f aca="false">L12+L13-L9*Допущения!$C$10*10/24*Допущения!$C$9/12</f>
        <v>37879.4396842542</v>
      </c>
      <c r="M14" s="7" t="n">
        <f aca="false">M12+M13-M9*Допущения!$C$10*11/24*Допущения!$C$9/12</f>
        <v>43103.5309289607</v>
      </c>
      <c r="N14" s="7" t="n">
        <f aca="false">N12+N13-N9*Допущения!$C$10*12/24*Допущения!$C$9/12</f>
        <v>47170.7134606893</v>
      </c>
      <c r="O14" s="7" t="n">
        <f aca="false">O12+O13-O9*Допущения!$C$10*13/24*Допущения!$C$9/12</f>
        <v>50948.9104236681</v>
      </c>
      <c r="P14" s="7" t="n">
        <f aca="false">P12+P13-P9*Допущения!$C$10*14/24*Допущения!$C$9/12</f>
        <v>56603.5360504722</v>
      </c>
      <c r="Q14" s="7" t="n">
        <f aca="false">Q12+Q13-Q9*Допущения!$C$10*15/24*Допущения!$C$9/12</f>
        <v>60861.6171932866</v>
      </c>
      <c r="R14" s="7" t="n">
        <f aca="false">R12+R13-R9*Допущения!$C$10*16/24*Допущения!$C$9/12</f>
        <v>67135.8661071087</v>
      </c>
      <c r="S14" s="7" t="n">
        <f aca="false">S12+S13-S9*Допущения!$C$10*17/24*Допущения!$C$9/12</f>
        <v>71827.8952279633</v>
      </c>
      <c r="T14" s="7" t="n">
        <f aca="false">T12+T13-T9*Допущения!$C$10*18/24*Допущения!$C$9/12</f>
        <v>78681.8812005581</v>
      </c>
      <c r="U14" s="7" t="n">
        <f aca="false">U12+U13-U9*Допущения!$C$10*19/24*Допущения!$C$9/12</f>
        <v>86315.1574688318</v>
      </c>
      <c r="V14" s="7" t="n">
        <f aca="false">V12+V13-V9*Допущения!$C$10*20/24*Допущения!$C$9/12</f>
        <v>92058.6716303647</v>
      </c>
      <c r="W14" s="7" t="n">
        <f aca="false">W12+W13-W9*Допущения!$C$10*21/24*Допущения!$C$9/12</f>
        <v>100156.759316783</v>
      </c>
      <c r="X14" s="7" t="n">
        <f aca="false">X12+X13-X9*Допущения!$C$10*22/24*Допущения!$C$9/12</f>
        <v>108985.256180665</v>
      </c>
      <c r="Y14" s="7" t="n">
        <f aca="false">Y12+Y13-Y9*Допущения!$C$10*23/24*Допущения!$C$9/12</f>
        <v>118505.728774922</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Допущения!$C$23</f>
        <v>5300</v>
      </c>
      <c r="C16" s="7" t="n">
        <f aca="false">Допущения!$C$23</f>
        <v>5300</v>
      </c>
      <c r="D16" s="7" t="n">
        <f aca="false">Допущения!$C$23</f>
        <v>5300</v>
      </c>
      <c r="E16" s="7" t="n">
        <f aca="false">Допущения!$C$23</f>
        <v>5300</v>
      </c>
      <c r="F16" s="7" t="n">
        <f aca="false">Допущения!$C$23</f>
        <v>5300</v>
      </c>
      <c r="G16" s="7" t="n">
        <f aca="false">Допущения!$C$23</f>
        <v>5300</v>
      </c>
      <c r="H16" s="7" t="n">
        <f aca="false">Допущения!$C$23</f>
        <v>5300</v>
      </c>
      <c r="I16" s="7" t="n">
        <f aca="false">Допущения!$C$23</f>
        <v>5300</v>
      </c>
      <c r="J16" s="7" t="n">
        <f aca="false">Допущения!$C$23</f>
        <v>5300</v>
      </c>
      <c r="K16" s="7" t="n">
        <f aca="false">Допущения!$C$23</f>
        <v>5300</v>
      </c>
      <c r="L16" s="7" t="n">
        <f aca="false">Допущения!$C$23</f>
        <v>5300</v>
      </c>
      <c r="M16" s="7" t="n">
        <f aca="false">Допущения!$C$23</f>
        <v>5300</v>
      </c>
      <c r="N16" s="7" t="n">
        <f aca="false">Допущения!$C$23</f>
        <v>5300</v>
      </c>
      <c r="O16" s="7" t="n">
        <f aca="false">Допущения!$C$23</f>
        <v>5300</v>
      </c>
      <c r="P16" s="7" t="n">
        <f aca="false">Допущения!$C$23</f>
        <v>5300</v>
      </c>
      <c r="Q16" s="7" t="n">
        <f aca="false">Допущения!$C$23</f>
        <v>5300</v>
      </c>
      <c r="R16" s="7" t="n">
        <f aca="false">Допущения!$C$23</f>
        <v>5300</v>
      </c>
      <c r="S16" s="7" t="n">
        <f aca="false">Допущения!$C$23</f>
        <v>5300</v>
      </c>
      <c r="T16" s="7" t="n">
        <f aca="false">Допущения!$C$23</f>
        <v>5300</v>
      </c>
      <c r="U16" s="7" t="n">
        <f aca="false">Допущения!$C$23</f>
        <v>5300</v>
      </c>
      <c r="V16" s="7" t="n">
        <f aca="false">Допущения!$C$23</f>
        <v>5300</v>
      </c>
      <c r="W16" s="7" t="n">
        <f aca="false">Допущения!$C$23</f>
        <v>5300</v>
      </c>
      <c r="X16" s="7" t="n">
        <f aca="false">Допущения!$C$23</f>
        <v>5300</v>
      </c>
      <c r="Y16" s="7" t="n">
        <f aca="false">Допущения!$C$23</f>
        <v>5300</v>
      </c>
    </row>
    <row r="17" customFormat="false" ht="32.8" hidden="false" customHeight="false" outlineLevel="0" collapsed="false">
      <c r="A17" s="17" t="s">
        <v>242</v>
      </c>
      <c r="B17" s="7" t="n">
        <f aca="false">Допущения!$C$24+B10*Допущения!$C$28*Допущения!$C$29</f>
        <v>7000</v>
      </c>
      <c r="C17" s="7" t="n">
        <f aca="false">Допущения!$C$24+C10*Допущения!$C$28*Допущения!$C$29</f>
        <v>7000</v>
      </c>
      <c r="D17" s="7" t="n">
        <f aca="false">Допущения!$C$24+D10*Допущения!$C$28*Допущения!$C$29</f>
        <v>7076.8</v>
      </c>
      <c r="E17" s="7" t="n">
        <f aca="false">Допущения!$C$24+E10*Допущения!$C$28*Допущения!$C$29</f>
        <v>7165.3312</v>
      </c>
      <c r="F17" s="7" t="n">
        <f aca="false">Допущения!$C$24+F10*Допущения!$C$28*Допущения!$C$29</f>
        <v>7245.4042944</v>
      </c>
      <c r="G17" s="7" t="n">
        <f aca="false">Допущения!$C$24+G10*Допущения!$C$28*Допущения!$C$29</f>
        <v>7317.98863464267</v>
      </c>
      <c r="H17" s="7" t="n">
        <f aca="false">Допущения!$C$24+H10*Допущения!$C$28*Допущения!$C$29</f>
        <v>7383.93870866894</v>
      </c>
      <c r="I17" s="7" t="n">
        <f aca="false">Допущения!$C$24+I10*Допущения!$C$28*Допущения!$C$29</f>
        <v>7444.008444516</v>
      </c>
      <c r="J17" s="7" t="n">
        <f aca="false">Допущения!$C$24+J10*Допущения!$C$28*Допущения!$C$29</f>
        <v>7518.06366199085</v>
      </c>
      <c r="K17" s="7" t="n">
        <f aca="false">Допущения!$C$24+K10*Допущения!$C$28*Допущения!$C$29</f>
        <v>7585.73132100319</v>
      </c>
      <c r="L17" s="7" t="n">
        <f aca="false">Допущения!$C$24+L10*Допущения!$C$28*Допущения!$C$29</f>
        <v>7647.72739267873</v>
      </c>
      <c r="M17" s="7" t="n">
        <f aca="false">Допущения!$C$24+M10*Допущения!$C$28*Допущения!$C$29</f>
        <v>7723.88590462037</v>
      </c>
      <c r="N17" s="7" t="n">
        <f aca="false">Допущения!$C$24+N10*Допущения!$C$28*Допущения!$C$29</f>
        <v>7793.86005910916</v>
      </c>
      <c r="O17" s="7" t="n">
        <f aca="false">Допущения!$C$24+O10*Допущения!$C$28*Допущения!$C$29</f>
        <v>7858.33421890263</v>
      </c>
      <c r="P17" s="7" t="n">
        <f aca="false">Допущения!$C$24+P10*Допущения!$C$28*Допущения!$C$29</f>
        <v>7937.11608615495</v>
      </c>
      <c r="Q17" s="7" t="n">
        <f aca="false">Допущения!$C$24+Q10*Допущения!$C$28*Допущения!$C$29</f>
        <v>8009.88982372408</v>
      </c>
      <c r="R17" s="7" t="n">
        <f aca="false">Допущения!$C$24+R10*Допущения!$C$28*Допущения!$C$29</f>
        <v>8096.5125587663</v>
      </c>
      <c r="S17" s="7" t="n">
        <f aca="false">Допущения!$C$24+S10*Допущения!$C$28*Допущения!$C$29</f>
        <v>8176.74862359711</v>
      </c>
      <c r="T17" s="7" t="n">
        <f aca="false">Допущения!$C$24+T10*Допущения!$C$28*Допущения!$C$29</f>
        <v>8270.49011352675</v>
      </c>
      <c r="U17" s="7" t="n">
        <f aca="false">Допущения!$C$24+U10*Допущения!$C$28*Допущения!$C$29</f>
        <v>8376.76880498466</v>
      </c>
      <c r="V17" s="7" t="n">
        <f aca="false">Допущения!$C$24+V10*Допущения!$C$28*Допущения!$C$29</f>
        <v>8475.53268591092</v>
      </c>
      <c r="W17" s="7" t="n">
        <f aca="false">Допущения!$C$24+W10*Допущения!$C$28*Допущения!$C$29</f>
        <v>8586.78342152361</v>
      </c>
      <c r="X17" s="7" t="n">
        <f aca="false">Допущения!$C$24+X10*Допущения!$C$28*Допущения!$C$29</f>
        <v>8709.70521170531</v>
      </c>
      <c r="Y17" s="7" t="n">
        <f aca="false">Допущения!$C$24+Y10*Допущения!$C$28*Допущения!$C$29</f>
        <v>8843.5809754149</v>
      </c>
      <c r="Z17" s="8" t="s">
        <v>243</v>
      </c>
    </row>
    <row r="18" customFormat="false" ht="15" hidden="false" customHeight="false" outlineLevel="0" collapsed="false">
      <c r="A18" s="17" t="s">
        <v>133</v>
      </c>
      <c r="B18" s="7" t="n">
        <f aca="false">Допущения!$C$25</f>
        <v>20000</v>
      </c>
      <c r="C18" s="7" t="n">
        <f aca="false">Допущения!$C$25</f>
        <v>20000</v>
      </c>
      <c r="D18" s="7" t="n">
        <f aca="false">Допущения!$C$25</f>
        <v>20000</v>
      </c>
      <c r="E18" s="7" t="n">
        <f aca="false">Допущения!$C$25</f>
        <v>20000</v>
      </c>
      <c r="F18" s="7" t="n">
        <f aca="false">Допущения!$C$25</f>
        <v>20000</v>
      </c>
      <c r="G18" s="7" t="n">
        <f aca="false">Допущения!$C$25</f>
        <v>20000</v>
      </c>
      <c r="H18" s="7" t="n">
        <f aca="false">Допущения!$C$25</f>
        <v>20000</v>
      </c>
      <c r="I18" s="7" t="n">
        <f aca="false">Допущения!$C$25</f>
        <v>20000</v>
      </c>
      <c r="J18" s="7" t="n">
        <f aca="false">Допущения!$C$25</f>
        <v>20000</v>
      </c>
      <c r="K18" s="7" t="n">
        <f aca="false">Допущения!$C$25</f>
        <v>20000</v>
      </c>
      <c r="L18" s="7" t="n">
        <f aca="false">Допущения!$C$25</f>
        <v>20000</v>
      </c>
      <c r="M18" s="7" t="n">
        <f aca="false">Допущения!$C$25</f>
        <v>20000</v>
      </c>
      <c r="N18" s="7" t="n">
        <f aca="false">Допущения!$C$25</f>
        <v>20000</v>
      </c>
      <c r="O18" s="7" t="n">
        <f aca="false">Допущения!$C$25</f>
        <v>20000</v>
      </c>
      <c r="P18" s="7" t="n">
        <f aca="false">Допущения!$C$25</f>
        <v>20000</v>
      </c>
      <c r="Q18" s="7" t="n">
        <f aca="false">Допущения!$C$25</f>
        <v>20000</v>
      </c>
      <c r="R18" s="7" t="n">
        <f aca="false">Допущения!$C$25</f>
        <v>20000</v>
      </c>
      <c r="S18" s="7" t="n">
        <f aca="false">Допущения!$C$25</f>
        <v>20000</v>
      </c>
      <c r="T18" s="7" t="n">
        <f aca="false">Допущения!$C$25</f>
        <v>20000</v>
      </c>
      <c r="U18" s="7" t="n">
        <f aca="false">Допущения!$C$25</f>
        <v>20000</v>
      </c>
      <c r="V18" s="7" t="n">
        <f aca="false">Допущения!$C$25</f>
        <v>20000</v>
      </c>
      <c r="W18" s="7" t="n">
        <f aca="false">Допущения!$C$25</f>
        <v>20000</v>
      </c>
      <c r="X18" s="7" t="n">
        <f aca="false">Допущения!$C$25</f>
        <v>20000</v>
      </c>
      <c r="Y18" s="7" t="n">
        <f aca="false">Допущения!$C$25</f>
        <v>20000</v>
      </c>
    </row>
    <row r="19" customFormat="false" ht="15" hidden="false" customHeight="false" outlineLevel="0" collapsed="false">
      <c r="A19" s="17" t="s">
        <v>244</v>
      </c>
      <c r="B19" s="7" t="n">
        <f aca="false">Допущения!$C$31</f>
        <v>8000</v>
      </c>
      <c r="C19" s="7" t="n">
        <f aca="false">Допущения!$C$31</f>
        <v>8000</v>
      </c>
      <c r="D19" s="7" t="n">
        <f aca="false">Допущения!$C$31</f>
        <v>8000</v>
      </c>
      <c r="E19" s="7" t="n">
        <f aca="false">Допущения!$C$31</f>
        <v>8000</v>
      </c>
      <c r="F19" s="7" t="n">
        <f aca="false">Допущения!$C$31</f>
        <v>8000</v>
      </c>
      <c r="G19" s="7" t="n">
        <f aca="false">Допущения!$C$31</f>
        <v>8000</v>
      </c>
      <c r="H19" s="7" t="n">
        <f aca="false">Допущения!$C$31</f>
        <v>8000</v>
      </c>
      <c r="I19" s="7" t="n">
        <f aca="false">Допущения!$C$31</f>
        <v>8000</v>
      </c>
      <c r="J19" s="7" t="n">
        <f aca="false">Допущения!$C$31</f>
        <v>8000</v>
      </c>
      <c r="K19" s="7" t="n">
        <f aca="false">Допущения!$C$31</f>
        <v>8000</v>
      </c>
      <c r="L19" s="7" t="n">
        <f aca="false">Допущения!$C$31</f>
        <v>8000</v>
      </c>
      <c r="M19" s="7" t="n">
        <f aca="false">Допущения!$C$31</f>
        <v>8000</v>
      </c>
      <c r="N19" s="7" t="n">
        <f aca="false">Допущения!$C$31</f>
        <v>8000</v>
      </c>
      <c r="O19" s="7" t="n">
        <f aca="false">Допущения!$C$31</f>
        <v>8000</v>
      </c>
      <c r="P19" s="7" t="n">
        <f aca="false">Допущения!$C$31</f>
        <v>8000</v>
      </c>
      <c r="Q19" s="7" t="n">
        <f aca="false">Допущения!$C$31</f>
        <v>8000</v>
      </c>
      <c r="R19" s="7" t="n">
        <f aca="false">Допущения!$C$31</f>
        <v>8000</v>
      </c>
      <c r="S19" s="7" t="n">
        <f aca="false">Допущения!$C$31</f>
        <v>8000</v>
      </c>
      <c r="T19" s="7" t="n">
        <f aca="false">Допущения!$C$31</f>
        <v>8000</v>
      </c>
      <c r="U19" s="7" t="n">
        <f aca="false">Допущения!$C$31</f>
        <v>8000</v>
      </c>
      <c r="V19" s="7" t="n">
        <f aca="false">Допущения!$C$31</f>
        <v>8000</v>
      </c>
      <c r="W19" s="7" t="n">
        <f aca="false">Допущения!$C$31</f>
        <v>8000</v>
      </c>
      <c r="X19" s="7" t="n">
        <f aca="false">Допущения!$C$31</f>
        <v>8000</v>
      </c>
      <c r="Y19" s="7" t="n">
        <f aca="false">Допущения!$C$31</f>
        <v>8000</v>
      </c>
    </row>
    <row r="20" customFormat="false" ht="15" hidden="false" customHeight="false" outlineLevel="0" collapsed="false">
      <c r="A20" s="17" t="s">
        <v>145</v>
      </c>
      <c r="B20" s="7" t="n">
        <f aca="false">Допущения!$C$32</f>
        <v>2500</v>
      </c>
      <c r="C20" s="7" t="n">
        <f aca="false">Допущения!$C$32</f>
        <v>2500</v>
      </c>
      <c r="D20" s="7" t="n">
        <f aca="false">Допущения!$C$32</f>
        <v>2500</v>
      </c>
      <c r="E20" s="7" t="n">
        <f aca="false">Допущения!$C$32</f>
        <v>2500</v>
      </c>
      <c r="F20" s="7" t="n">
        <f aca="false">Допущения!$C$32</f>
        <v>2500</v>
      </c>
      <c r="G20" s="7" t="n">
        <f aca="false">Допущения!$C$32</f>
        <v>2500</v>
      </c>
      <c r="H20" s="7" t="n">
        <f aca="false">Допущения!$C$32</f>
        <v>2500</v>
      </c>
      <c r="I20" s="7" t="n">
        <f aca="false">Допущения!$C$32</f>
        <v>2500</v>
      </c>
      <c r="J20" s="7" t="n">
        <f aca="false">Допущения!$C$32</f>
        <v>2500</v>
      </c>
      <c r="K20" s="7" t="n">
        <f aca="false">Допущения!$C$32</f>
        <v>2500</v>
      </c>
      <c r="L20" s="7" t="n">
        <f aca="false">Допущения!$C$32</f>
        <v>2500</v>
      </c>
      <c r="M20" s="7" t="n">
        <f aca="false">Допущения!$C$32</f>
        <v>2500</v>
      </c>
      <c r="N20" s="7" t="n">
        <f aca="false">Допущения!$C$32</f>
        <v>2500</v>
      </c>
      <c r="O20" s="7" t="n">
        <f aca="false">Допущения!$C$32</f>
        <v>2500</v>
      </c>
      <c r="P20" s="7" t="n">
        <f aca="false">Допущения!$C$32</f>
        <v>2500</v>
      </c>
      <c r="Q20" s="7" t="n">
        <f aca="false">Допущения!$C$32</f>
        <v>2500</v>
      </c>
      <c r="R20" s="7" t="n">
        <f aca="false">Допущения!$C$32</f>
        <v>2500</v>
      </c>
      <c r="S20" s="7" t="n">
        <f aca="false">Допущения!$C$32</f>
        <v>2500</v>
      </c>
      <c r="T20" s="7" t="n">
        <f aca="false">Допущения!$C$32</f>
        <v>2500</v>
      </c>
      <c r="U20" s="7" t="n">
        <f aca="false">Допущения!$C$32</f>
        <v>2500</v>
      </c>
      <c r="V20" s="7" t="n">
        <f aca="false">Допущения!$C$32</f>
        <v>2500</v>
      </c>
      <c r="W20" s="7" t="n">
        <f aca="false">Допущения!$C$32</f>
        <v>2500</v>
      </c>
      <c r="X20" s="7" t="n">
        <f aca="false">Допущения!$C$32</f>
        <v>2500</v>
      </c>
      <c r="Y20" s="7" t="n">
        <f aca="false">Допущения!$C$32</f>
        <v>2500</v>
      </c>
      <c r="Z20" s="8" t="s">
        <v>245</v>
      </c>
    </row>
    <row r="21" customFormat="false" ht="15" hidden="false" customHeight="false" outlineLevel="0" collapsed="false">
      <c r="A21" s="17" t="s">
        <v>246</v>
      </c>
      <c r="B21" s="7" t="n">
        <f aca="false">Допущения!$C$33</f>
        <v>7000</v>
      </c>
      <c r="C21" s="7" t="n">
        <f aca="false">Допущения!$C$33</f>
        <v>7000</v>
      </c>
      <c r="D21" s="7" t="n">
        <f aca="false">Допущения!$C$33</f>
        <v>7000</v>
      </c>
      <c r="E21" s="7" t="n">
        <f aca="false">Допущения!$C$33</f>
        <v>7000</v>
      </c>
      <c r="F21" s="7" t="n">
        <f aca="false">Допущения!$C$33</f>
        <v>7000</v>
      </c>
      <c r="G21" s="7" t="n">
        <f aca="false">Допущения!$C$33</f>
        <v>7000</v>
      </c>
      <c r="H21" s="7" t="n">
        <f aca="false">Допущения!$C$33</f>
        <v>7000</v>
      </c>
      <c r="I21" s="7" t="n">
        <f aca="false">Допущения!$C$33</f>
        <v>7000</v>
      </c>
      <c r="J21" s="7" t="n">
        <f aca="false">Допущения!$C$33</f>
        <v>7000</v>
      </c>
      <c r="K21" s="7" t="n">
        <f aca="false">Допущения!$C$33</f>
        <v>7000</v>
      </c>
      <c r="L21" s="7" t="n">
        <f aca="false">Допущения!$C$33</f>
        <v>7000</v>
      </c>
      <c r="M21" s="7" t="n">
        <f aca="false">Допущения!$C$33</f>
        <v>7000</v>
      </c>
      <c r="N21" s="7" t="n">
        <f aca="false">Допущения!$C$33</f>
        <v>7000</v>
      </c>
      <c r="O21" s="7" t="n">
        <f aca="false">Допущения!$C$33</f>
        <v>7000</v>
      </c>
      <c r="P21" s="7" t="n">
        <f aca="false">Допущения!$C$33</f>
        <v>7000</v>
      </c>
      <c r="Q21" s="7" t="n">
        <f aca="false">Допущения!$C$33</f>
        <v>7000</v>
      </c>
      <c r="R21" s="7" t="n">
        <f aca="false">Допущения!$C$33</f>
        <v>7000</v>
      </c>
      <c r="S21" s="7" t="n">
        <f aca="false">Допущения!$C$33</f>
        <v>7000</v>
      </c>
      <c r="T21" s="7" t="n">
        <f aca="false">Допущения!$C$33</f>
        <v>7000</v>
      </c>
      <c r="U21" s="7" t="n">
        <f aca="false">Допущения!$C$33</f>
        <v>7000</v>
      </c>
      <c r="V21" s="7" t="n">
        <f aca="false">Допущения!$C$33</f>
        <v>7000</v>
      </c>
      <c r="W21" s="7" t="n">
        <f aca="false">Допущения!$C$33</f>
        <v>7000</v>
      </c>
      <c r="X21" s="7" t="n">
        <f aca="false">Допущения!$C$33</f>
        <v>7000</v>
      </c>
      <c r="Y21" s="7" t="n">
        <f aca="false">Допущения!$C$33</f>
        <v>7000</v>
      </c>
    </row>
    <row r="22" customFormat="false" ht="15" hidden="false" customHeight="false" outlineLevel="0" collapsed="false">
      <c r="A22" s="17" t="s">
        <v>135</v>
      </c>
      <c r="B22" s="7" t="n">
        <f aca="false">Допущения!$C$26</f>
        <v>1908</v>
      </c>
      <c r="C22" s="7" t="n">
        <f aca="false">Допущения!$C$26</f>
        <v>1908</v>
      </c>
      <c r="D22" s="7" t="n">
        <f aca="false">Допущения!$C$26</f>
        <v>1908</v>
      </c>
      <c r="E22" s="7" t="n">
        <f aca="false">Допущения!$C$26</f>
        <v>1908</v>
      </c>
      <c r="F22" s="7" t="n">
        <f aca="false">Допущения!$C$26</f>
        <v>1908</v>
      </c>
      <c r="G22" s="7" t="n">
        <f aca="false">Допущения!$C$26</f>
        <v>1908</v>
      </c>
      <c r="H22" s="7" t="n">
        <f aca="false">Допущения!$C$26</f>
        <v>1908</v>
      </c>
      <c r="I22" s="7" t="n">
        <f aca="false">Допущения!$C$26</f>
        <v>1908</v>
      </c>
      <c r="J22" s="7" t="n">
        <f aca="false">Допущения!$C$26</f>
        <v>1908</v>
      </c>
      <c r="K22" s="7" t="n">
        <f aca="false">Допущения!$C$26</f>
        <v>1908</v>
      </c>
      <c r="L22" s="7" t="n">
        <f aca="false">Допущения!$C$26</f>
        <v>1908</v>
      </c>
      <c r="M22" s="7" t="n">
        <f aca="false">Допущения!$C$26</f>
        <v>1908</v>
      </c>
      <c r="N22" s="7" t="n">
        <f aca="false">Допущения!$C$26</f>
        <v>1908</v>
      </c>
      <c r="O22" s="7" t="n">
        <f aca="false">Допущения!$C$26</f>
        <v>1908</v>
      </c>
      <c r="P22" s="7" t="n">
        <f aca="false">Допущения!$C$26</f>
        <v>1908</v>
      </c>
      <c r="Q22" s="7" t="n">
        <f aca="false">Допущения!$C$26</f>
        <v>1908</v>
      </c>
      <c r="R22" s="7" t="n">
        <f aca="false">Допущения!$C$26</f>
        <v>1908</v>
      </c>
      <c r="S22" s="7" t="n">
        <f aca="false">Допущения!$C$26</f>
        <v>1908</v>
      </c>
      <c r="T22" s="7" t="n">
        <f aca="false">Допущения!$C$26</f>
        <v>1908</v>
      </c>
      <c r="U22" s="7" t="n">
        <f aca="false">Допущения!$C$26</f>
        <v>1908</v>
      </c>
      <c r="V22" s="7" t="n">
        <f aca="false">Допущения!$C$26</f>
        <v>1908</v>
      </c>
      <c r="W22" s="7" t="n">
        <f aca="false">Допущения!$C$26</f>
        <v>1908</v>
      </c>
      <c r="X22" s="7" t="n">
        <f aca="false">Допущения!$C$26</f>
        <v>1908</v>
      </c>
      <c r="Y22" s="7" t="n">
        <f aca="false">Допущения!$C$26</f>
        <v>1908</v>
      </c>
    </row>
    <row r="23" customFormat="false" ht="15" hidden="false" customHeight="false" outlineLevel="0" collapsed="false">
      <c r="A23" s="17" t="s">
        <v>247</v>
      </c>
      <c r="B23" s="7" t="n">
        <f aca="false">Допущения!$C$34</f>
        <v>10000</v>
      </c>
      <c r="C23" s="7" t="n">
        <f aca="false">Допущения!$C$34</f>
        <v>10000</v>
      </c>
      <c r="D23" s="7" t="n">
        <f aca="false">Допущения!$C$34</f>
        <v>10000</v>
      </c>
      <c r="E23" s="7" t="n">
        <f aca="false">Допущения!$C$34</f>
        <v>10000</v>
      </c>
      <c r="F23" s="7" t="n">
        <f aca="false">Допущения!$C$34</f>
        <v>10000</v>
      </c>
      <c r="G23" s="7" t="n">
        <f aca="false">Допущения!$C$34</f>
        <v>10000</v>
      </c>
      <c r="H23" s="7" t="n">
        <f aca="false">Допущения!$C$34</f>
        <v>10000</v>
      </c>
      <c r="I23" s="7" t="n">
        <f aca="false">Допущения!$C$34</f>
        <v>10000</v>
      </c>
      <c r="J23" s="7" t="n">
        <f aca="false">Допущения!$C$34</f>
        <v>10000</v>
      </c>
      <c r="K23" s="7" t="n">
        <f aca="false">Допущения!$C$34</f>
        <v>10000</v>
      </c>
      <c r="L23" s="7" t="n">
        <f aca="false">Допущения!$C$34</f>
        <v>10000</v>
      </c>
      <c r="M23" s="7" t="n">
        <f aca="false">Допущения!$C$34</f>
        <v>10000</v>
      </c>
      <c r="N23" s="7" t="n">
        <f aca="false">Допущения!$C$34</f>
        <v>10000</v>
      </c>
      <c r="O23" s="7" t="n">
        <f aca="false">Допущения!$C$34</f>
        <v>10000</v>
      </c>
      <c r="P23" s="7" t="n">
        <f aca="false">Допущения!$C$34</f>
        <v>10000</v>
      </c>
      <c r="Q23" s="7" t="n">
        <f aca="false">Допущения!$C$34</f>
        <v>10000</v>
      </c>
      <c r="R23" s="7" t="n">
        <f aca="false">Допущения!$C$34</f>
        <v>10000</v>
      </c>
      <c r="S23" s="7" t="n">
        <f aca="false">Допущения!$C$34</f>
        <v>10000</v>
      </c>
      <c r="T23" s="7" t="n">
        <f aca="false">Допущения!$C$34</f>
        <v>10000</v>
      </c>
      <c r="U23" s="7" t="n">
        <f aca="false">Допущения!$C$34</f>
        <v>10000</v>
      </c>
      <c r="V23" s="7" t="n">
        <f aca="false">Допущения!$C$34</f>
        <v>10000</v>
      </c>
      <c r="W23" s="7" t="n">
        <f aca="false">Допущения!$C$34</f>
        <v>10000</v>
      </c>
      <c r="X23" s="7" t="n">
        <f aca="false">Допущения!$C$34</f>
        <v>10000</v>
      </c>
      <c r="Y23" s="7" t="n">
        <f aca="false">Допущения!$C$34</f>
        <v>10000</v>
      </c>
    </row>
    <row r="24" customFormat="false" ht="15" hidden="false" customHeight="false" outlineLevel="0" collapsed="false">
      <c r="A24" s="17" t="s">
        <v>151</v>
      </c>
      <c r="B24" s="7" t="n">
        <f aca="false">Допущения!$C$35</f>
        <v>30000</v>
      </c>
      <c r="C24" s="7" t="n">
        <f aca="false">Допущения!$C$35</f>
        <v>30000</v>
      </c>
      <c r="D24" s="7" t="n">
        <f aca="false">Допущения!$C$35</f>
        <v>30000</v>
      </c>
      <c r="E24" s="7" t="n">
        <f aca="false">Допущения!$C$35</f>
        <v>30000</v>
      </c>
      <c r="F24" s="7" t="n">
        <f aca="false">Допущения!$C$35</f>
        <v>30000</v>
      </c>
      <c r="G24" s="7" t="n">
        <f aca="false">Допущения!$C$35</f>
        <v>30000</v>
      </c>
      <c r="H24" s="7" t="n">
        <f aca="false">Допущения!$C$35</f>
        <v>30000</v>
      </c>
      <c r="I24" s="7" t="n">
        <f aca="false">Допущения!$C$35</f>
        <v>30000</v>
      </c>
      <c r="J24" s="7" t="n">
        <f aca="false">Допущения!$C$35</f>
        <v>30000</v>
      </c>
      <c r="K24" s="7" t="n">
        <f aca="false">Допущения!$C$35</f>
        <v>30000</v>
      </c>
      <c r="L24" s="7" t="n">
        <f aca="false">Допущения!$C$35</f>
        <v>30000</v>
      </c>
      <c r="M24" s="7" t="n">
        <f aca="false">Допущения!$C$35</f>
        <v>30000</v>
      </c>
      <c r="N24" s="7" t="n">
        <f aca="false">Допущения!$C$35</f>
        <v>30000</v>
      </c>
      <c r="O24" s="7" t="n">
        <f aca="false">Допущения!$C$35</f>
        <v>30000</v>
      </c>
      <c r="P24" s="7" t="n">
        <f aca="false">Допущения!$C$35</f>
        <v>30000</v>
      </c>
      <c r="Q24" s="7" t="n">
        <f aca="false">Допущения!$C$35</f>
        <v>30000</v>
      </c>
      <c r="R24" s="7" t="n">
        <f aca="false">Допущения!$C$35</f>
        <v>30000</v>
      </c>
      <c r="S24" s="7" t="n">
        <f aca="false">Допущения!$C$35</f>
        <v>30000</v>
      </c>
      <c r="T24" s="7" t="n">
        <f aca="false">Допущения!$C$35</f>
        <v>30000</v>
      </c>
      <c r="U24" s="7" t="n">
        <f aca="false">Допущения!$C$35</f>
        <v>30000</v>
      </c>
      <c r="V24" s="7" t="n">
        <f aca="false">Допущения!$C$35</f>
        <v>30000</v>
      </c>
      <c r="W24" s="7" t="n">
        <f aca="false">Допущения!$C$35</f>
        <v>30000</v>
      </c>
      <c r="X24" s="7" t="n">
        <f aca="false">Допущения!$C$35</f>
        <v>30000</v>
      </c>
      <c r="Y24" s="7" t="n">
        <f aca="false">Допущения!$C$35</f>
        <v>30000</v>
      </c>
    </row>
    <row r="25" customFormat="false" ht="15" hidden="false" customHeight="false" outlineLevel="0" collapsed="false">
      <c r="A25" s="17" t="s">
        <v>248</v>
      </c>
      <c r="B25" s="7" t="n">
        <f aca="false">Допущения!$C$36</f>
        <v>8000</v>
      </c>
      <c r="C25" s="7" t="n">
        <f aca="false">Допущения!$C$36</f>
        <v>8000</v>
      </c>
      <c r="D25" s="7" t="n">
        <f aca="false">Допущения!$C$36</f>
        <v>8000</v>
      </c>
      <c r="E25" s="7" t="n">
        <f aca="false">Допущения!$C$36</f>
        <v>8000</v>
      </c>
      <c r="F25" s="7" t="n">
        <f aca="false">Допущения!$C$36</f>
        <v>8000</v>
      </c>
      <c r="G25" s="7" t="n">
        <f aca="false">Допущения!$C$36</f>
        <v>8000</v>
      </c>
      <c r="H25" s="7" t="n">
        <f aca="false">Допущения!$C$36</f>
        <v>8000</v>
      </c>
      <c r="I25" s="7" t="n">
        <f aca="false">Допущения!$C$36</f>
        <v>8000</v>
      </c>
      <c r="J25" s="7" t="n">
        <f aca="false">Допущения!$C$36</f>
        <v>8000</v>
      </c>
      <c r="K25" s="7" t="n">
        <f aca="false">Допущения!$C$36</f>
        <v>8000</v>
      </c>
      <c r="L25" s="7" t="n">
        <f aca="false">Допущения!$C$36</f>
        <v>8000</v>
      </c>
      <c r="M25" s="7" t="n">
        <f aca="false">Допущения!$C$36</f>
        <v>8000</v>
      </c>
      <c r="N25" s="7" t="n">
        <f aca="false">Допущения!$C$36</f>
        <v>8000</v>
      </c>
      <c r="O25" s="7" t="n">
        <f aca="false">Допущения!$C$36</f>
        <v>8000</v>
      </c>
      <c r="P25" s="7" t="n">
        <f aca="false">Допущения!$C$36</f>
        <v>8000</v>
      </c>
      <c r="Q25" s="7" t="n">
        <f aca="false">Допущения!$C$36</f>
        <v>8000</v>
      </c>
      <c r="R25" s="7" t="n">
        <f aca="false">Допущения!$C$36</f>
        <v>8000</v>
      </c>
      <c r="S25" s="7" t="n">
        <f aca="false">Допущения!$C$36</f>
        <v>8000</v>
      </c>
      <c r="T25" s="7" t="n">
        <f aca="false">Допущения!$C$36</f>
        <v>8000</v>
      </c>
      <c r="U25" s="7" t="n">
        <f aca="false">Допущения!$C$36</f>
        <v>8000</v>
      </c>
      <c r="V25" s="7" t="n">
        <f aca="false">Допущения!$C$36</f>
        <v>8000</v>
      </c>
      <c r="W25" s="7" t="n">
        <f aca="false">Допущения!$C$36</f>
        <v>8000</v>
      </c>
      <c r="X25" s="7" t="n">
        <f aca="false">Допущения!$C$36</f>
        <v>8000</v>
      </c>
      <c r="Y25" s="7" t="n">
        <f aca="false">Допущения!$C$36</f>
        <v>8000</v>
      </c>
    </row>
    <row r="26" customFormat="false" ht="15" hidden="false" customHeight="false" outlineLevel="0" collapsed="false">
      <c r="A26" s="17" t="s">
        <v>183</v>
      </c>
      <c r="B26" s="7" t="n">
        <f aca="false">B14*Допущения!$C$52</f>
        <v>0</v>
      </c>
      <c r="C26" s="7" t="n">
        <f aca="false">C14*Допущения!$C$52</f>
        <v>0</v>
      </c>
      <c r="D26" s="7" t="n">
        <f aca="false">D14*Допущения!$C$52</f>
        <v>138.402</v>
      </c>
      <c r="E26" s="7" t="n">
        <f aca="false">E14*Допущения!$C$52</f>
        <v>292.008902625</v>
      </c>
      <c r="F26" s="7" t="n">
        <f aca="false">F14*Допущения!$C$52</f>
        <v>427.2024304295</v>
      </c>
      <c r="G26" s="7" t="n">
        <f aca="false">G14*Допущения!$C$52</f>
        <v>550.521811323054</v>
      </c>
      <c r="H26" s="7" t="n">
        <f aca="false">H14*Допущения!$C$52</f>
        <v>663.329809064179</v>
      </c>
      <c r="I26" s="7" t="n">
        <f aca="false">I14*Допущения!$C$52</f>
        <v>766.827219788323</v>
      </c>
      <c r="J26" s="7" t="n">
        <f aca="false">J14*Допущения!$C$52</f>
        <v>911.375086032583</v>
      </c>
      <c r="K26" s="7" t="n">
        <f aca="false">K14*Допущения!$C$52</f>
        <v>1028.35865654063</v>
      </c>
      <c r="L26" s="7" t="n">
        <f aca="false">L14*Допущения!$C$52</f>
        <v>1136.38319052763</v>
      </c>
      <c r="M26" s="7" t="n">
        <f aca="false">M14*Допущения!$C$52</f>
        <v>1293.10592786882</v>
      </c>
      <c r="N26" s="7" t="n">
        <f aca="false">N14*Допущения!$C$52</f>
        <v>1415.12140382068</v>
      </c>
      <c r="O26" s="7" t="n">
        <f aca="false">O14*Допущения!$C$52</f>
        <v>1528.46731271004</v>
      </c>
      <c r="P26" s="7" t="n">
        <f aca="false">P14*Допущения!$C$52</f>
        <v>1698.10608151417</v>
      </c>
      <c r="Q26" s="7" t="n">
        <f aca="false">Q14*Допущения!$C$52</f>
        <v>1825.8485157986</v>
      </c>
      <c r="R26" s="7" t="n">
        <f aca="false">R14*Допущения!$C$52</f>
        <v>2014.07598321326</v>
      </c>
      <c r="S26" s="7" t="n">
        <f aca="false">S14*Допущения!$C$52</f>
        <v>2154.8368568389</v>
      </c>
      <c r="T26" s="7" t="n">
        <f aca="false">T14*Допущения!$C$52</f>
        <v>2360.45643601674</v>
      </c>
      <c r="U26" s="7" t="n">
        <f aca="false">U14*Допущения!$C$52</f>
        <v>2589.45472406495</v>
      </c>
      <c r="V26" s="7" t="n">
        <f aca="false">V14*Допущения!$C$52</f>
        <v>2761.76014891094</v>
      </c>
      <c r="W26" s="7" t="n">
        <f aca="false">W14*Допущения!$C$52</f>
        <v>3004.70277950348</v>
      </c>
      <c r="X26" s="7" t="n">
        <f aca="false">X14*Допущения!$C$52</f>
        <v>3269.55768541994</v>
      </c>
      <c r="Y26" s="7" t="n">
        <f aca="false">Y14*Допущения!$C$52</f>
        <v>3555.17186324766</v>
      </c>
    </row>
    <row r="27" customFormat="false" ht="43.25" hidden="false" customHeight="false" outlineLevel="0" collapsed="false">
      <c r="A27" s="17" t="s">
        <v>249</v>
      </c>
      <c r="B27" s="7" t="n">
        <f aca="false">B13*Допущения!$C$53/2</f>
        <v>0</v>
      </c>
      <c r="C27" s="7" t="n">
        <f aca="false">C13*Допущения!$C$53/2</f>
        <v>0</v>
      </c>
      <c r="D27" s="7" t="n">
        <f aca="false">D13*Допущения!$C$53/2</f>
        <v>18.15</v>
      </c>
      <c r="E27" s="7" t="n">
        <f aca="false">E13*Допущения!$C$53/2</f>
        <v>34.03125</v>
      </c>
      <c r="F27" s="7" t="n">
        <f aca="false">F13*Допущения!$C$53/2</f>
        <v>45.375</v>
      </c>
      <c r="G27" s="7" t="n">
        <f aca="false">G13*Допущения!$C$53/2</f>
        <v>56.71875</v>
      </c>
      <c r="H27" s="7" t="n">
        <f aca="false">H13*Допущения!$C$53/2</f>
        <v>68.0625</v>
      </c>
      <c r="I27" s="7" t="n">
        <f aca="false">I13*Допущения!$C$53/2</f>
        <v>79.40625</v>
      </c>
      <c r="J27" s="7" t="n">
        <f aca="false">J13*Допущения!$C$53/2</f>
        <v>108.9</v>
      </c>
      <c r="K27" s="7" t="n">
        <f aca="false">K13*Допущения!$C$53/2</f>
        <v>122.5125</v>
      </c>
      <c r="L27" s="7" t="n">
        <f aca="false">L13*Допущения!$C$53/2</f>
        <v>136.125</v>
      </c>
      <c r="M27" s="7" t="n">
        <f aca="false">M13*Допущения!$C$53/2</f>
        <v>174.69375</v>
      </c>
      <c r="N27" s="7" t="n">
        <f aca="false">N13*Допущения!$C$53/2</f>
        <v>190.575</v>
      </c>
      <c r="O27" s="7" t="n">
        <f aca="false">O13*Допущения!$C$53/2</f>
        <v>206.45625</v>
      </c>
      <c r="P27" s="7" t="n">
        <f aca="false">P13*Допущения!$C$53/2</f>
        <v>254.1</v>
      </c>
      <c r="Q27" s="7" t="n">
        <f aca="false">Q13*Допущения!$C$53/2</f>
        <v>272.25</v>
      </c>
      <c r="R27" s="7" t="n">
        <f aca="false">R13*Допущения!$C$53/2</f>
        <v>326.7</v>
      </c>
      <c r="S27" s="7" t="n">
        <f aca="false">S13*Допущения!$C$53/2</f>
        <v>347.11875</v>
      </c>
      <c r="T27" s="7" t="n">
        <f aca="false">T13*Допущения!$C$53/2</f>
        <v>408.375</v>
      </c>
      <c r="U27" s="7" t="n">
        <f aca="false">U13*Допущения!$C$53/2</f>
        <v>474.16875</v>
      </c>
      <c r="V27" s="7" t="n">
        <f aca="false">V13*Допущения!$C$53/2</f>
        <v>499.125</v>
      </c>
      <c r="W27" s="7" t="n">
        <f aca="false">W13*Допущения!$C$53/2</f>
        <v>571.725</v>
      </c>
      <c r="X27" s="7" t="n">
        <f aca="false">X13*Допущения!$C$53/2</f>
        <v>648.8625</v>
      </c>
      <c r="Y27" s="7" t="n">
        <f aca="false">Y13*Допущения!$C$53/2</f>
        <v>730.5375</v>
      </c>
      <c r="Z27" s="8" t="s">
        <v>250</v>
      </c>
    </row>
    <row r="28" customFormat="false" ht="15" hidden="false" customHeight="false" outlineLevel="0" collapsed="false">
      <c r="A28" s="17" t="s">
        <v>251</v>
      </c>
      <c r="B28" s="7" t="n">
        <f aca="false">Допущения!$C$38</f>
        <v>0</v>
      </c>
      <c r="C28" s="7" t="n">
        <f aca="false">Допущения!$C$38</f>
        <v>0</v>
      </c>
      <c r="D28" s="7" t="n">
        <f aca="false">Допущения!$C$38</f>
        <v>0</v>
      </c>
      <c r="E28" s="7" t="n">
        <f aca="false">Допущения!$C$38</f>
        <v>0</v>
      </c>
      <c r="F28" s="7" t="n">
        <f aca="false">Допущения!$C$38</f>
        <v>0</v>
      </c>
      <c r="G28" s="7" t="n">
        <f aca="false">Допущения!$C$38</f>
        <v>0</v>
      </c>
      <c r="H28" s="7" t="n">
        <f aca="false">Допущения!$C$38</f>
        <v>0</v>
      </c>
      <c r="I28" s="7" t="n">
        <f aca="false">Допущения!$C$38</f>
        <v>0</v>
      </c>
      <c r="J28" s="7" t="n">
        <f aca="false">Допущения!$C$38</f>
        <v>0</v>
      </c>
      <c r="K28" s="7" t="n">
        <f aca="false">Допущения!$C$38</f>
        <v>0</v>
      </c>
      <c r="L28" s="7" t="n">
        <f aca="false">Допущения!$C$38</f>
        <v>0</v>
      </c>
      <c r="M28" s="7" t="n">
        <f aca="false">Допущения!$C$38</f>
        <v>0</v>
      </c>
      <c r="N28" s="7" t="n">
        <f aca="false">Допущения!$C$38</f>
        <v>0</v>
      </c>
      <c r="O28" s="7" t="n">
        <f aca="false">Допущения!$C$38</f>
        <v>0</v>
      </c>
      <c r="P28" s="7" t="n">
        <f aca="false">Допущения!$C$38</f>
        <v>0</v>
      </c>
      <c r="Q28" s="7" t="n">
        <f aca="false">Допущения!$C$38</f>
        <v>0</v>
      </c>
      <c r="R28" s="7" t="n">
        <f aca="false">Допущения!$C$38</f>
        <v>0</v>
      </c>
      <c r="S28" s="7" t="n">
        <f aca="false">Допущения!$C$38</f>
        <v>0</v>
      </c>
      <c r="T28" s="7" t="n">
        <f aca="false">Допущения!$C$38</f>
        <v>0</v>
      </c>
      <c r="U28" s="7" t="n">
        <f aca="false">Допущения!$C$38</f>
        <v>0</v>
      </c>
      <c r="V28" s="7" t="n">
        <f aca="false">Допущения!$C$38</f>
        <v>0</v>
      </c>
      <c r="W28" s="7" t="n">
        <f aca="false">Допущения!$C$38</f>
        <v>0</v>
      </c>
      <c r="X28" s="7" t="n">
        <f aca="false">Допущения!$C$38</f>
        <v>0</v>
      </c>
      <c r="Y28" s="7" t="n">
        <f aca="false">Допущения!$C$38</f>
        <v>0</v>
      </c>
    </row>
    <row r="29" customFormat="false" ht="15" hidden="false" customHeight="false" outlineLevel="0" collapsed="false">
      <c r="A29" s="17" t="s">
        <v>252</v>
      </c>
      <c r="B29" s="7" t="n">
        <f aca="false">Допущения!$C$39</f>
        <v>0</v>
      </c>
      <c r="C29" s="7" t="n">
        <f aca="false">Допущения!$C$39</f>
        <v>0</v>
      </c>
      <c r="D29" s="7" t="n">
        <f aca="false">Допущения!$C$39</f>
        <v>0</v>
      </c>
      <c r="E29" s="7" t="n">
        <f aca="false">Допущения!$C$39</f>
        <v>0</v>
      </c>
      <c r="F29" s="7" t="n">
        <f aca="false">Допущения!$C$39</f>
        <v>0</v>
      </c>
      <c r="G29" s="7" t="n">
        <f aca="false">Допущения!$C$39</f>
        <v>0</v>
      </c>
      <c r="H29" s="7" t="n">
        <f aca="false">Допущения!$C$39</f>
        <v>0</v>
      </c>
      <c r="I29" s="7" t="n">
        <f aca="false">Допущения!$C$39</f>
        <v>0</v>
      </c>
      <c r="J29" s="7" t="n">
        <f aca="false">Допущения!$C$39</f>
        <v>0</v>
      </c>
      <c r="K29" s="7" t="n">
        <f aca="false">Допущения!$C$39</f>
        <v>0</v>
      </c>
      <c r="L29" s="7" t="n">
        <f aca="false">Допущения!$C$39</f>
        <v>0</v>
      </c>
      <c r="M29" s="7" t="n">
        <f aca="false">Допущения!$C$39</f>
        <v>0</v>
      </c>
      <c r="N29" s="7" t="n">
        <f aca="false">Допущения!$C$39</f>
        <v>0</v>
      </c>
      <c r="O29" s="7" t="n">
        <f aca="false">Допущения!$C$39</f>
        <v>0</v>
      </c>
      <c r="P29" s="7" t="n">
        <f aca="false">Допущения!$C$39</f>
        <v>0</v>
      </c>
      <c r="Q29" s="7" t="n">
        <f aca="false">Допущения!$C$39</f>
        <v>0</v>
      </c>
      <c r="R29" s="7" t="n">
        <f aca="false">Допущения!$C$39</f>
        <v>0</v>
      </c>
      <c r="S29" s="7" t="n">
        <f aca="false">Допущения!$C$39</f>
        <v>0</v>
      </c>
      <c r="T29" s="7" t="n">
        <f aca="false">Допущения!$C$39</f>
        <v>0</v>
      </c>
      <c r="U29" s="7" t="n">
        <f aca="false">Допущения!$C$39</f>
        <v>0</v>
      </c>
      <c r="V29" s="7" t="n">
        <f aca="false">Допущения!$C$39</f>
        <v>0</v>
      </c>
      <c r="W29" s="7" t="n">
        <f aca="false">Допущения!$C$39</f>
        <v>0</v>
      </c>
      <c r="X29" s="7" t="n">
        <f aca="false">Допущения!$C$39</f>
        <v>0</v>
      </c>
      <c r="Y29" s="7" t="n">
        <f aca="false">Допущения!$C$39</f>
        <v>0</v>
      </c>
    </row>
    <row r="30" customFormat="false" ht="32.8" hidden="false" customHeight="false" outlineLevel="0" collapsed="false">
      <c r="A30" s="17" t="s">
        <v>253</v>
      </c>
      <c r="B30" s="7" t="n">
        <f aca="false">IF(1&lt;=Допущения!$C$40,0,IF(1&lt;=Допущения!$C$42,Допущения!$C$41,Допущения!$C$43))</f>
        <v>0</v>
      </c>
      <c r="C30" s="7" t="n">
        <f aca="false">IF(2&lt;=Допущения!$C$40,0,IF(2&lt;=Допущения!$C$42,Допущения!$C$41,Допущения!$C$43))</f>
        <v>0</v>
      </c>
      <c r="D30" s="7" t="n">
        <f aca="false">IF(3&lt;=Допущения!$C$40,0,IF(3&lt;=Допущения!$C$42,Допущения!$C$41,Допущения!$C$43))</f>
        <v>0</v>
      </c>
      <c r="E30" s="7" t="n">
        <f aca="false">IF(4&lt;=Допущения!$C$40,0,IF(4&lt;=Допущения!$C$42,Допущения!$C$41,Допущения!$C$43))</f>
        <v>50000</v>
      </c>
      <c r="F30" s="7" t="n">
        <f aca="false">IF(5&lt;=Допущения!$C$40,0,IF(5&lt;=Допущения!$C$42,Допущения!$C$41,Допущения!$C$43))</f>
        <v>50000</v>
      </c>
      <c r="G30" s="7" t="n">
        <f aca="false">IF(6&lt;=Допущения!$C$40,0,IF(6&lt;=Допущения!$C$42,Допущения!$C$41,Допущения!$C$43))</f>
        <v>50000</v>
      </c>
      <c r="H30" s="7" t="n">
        <f aca="false">IF(7&lt;=Допущения!$C$40,0,IF(7&lt;=Допущения!$C$42,Допущения!$C$41,Допущения!$C$43))</f>
        <v>50000</v>
      </c>
      <c r="I30" s="7" t="n">
        <f aca="false">IF(8&lt;=Допущения!$C$40,0,IF(8&lt;=Допущения!$C$42,Допущения!$C$41,Допущения!$C$43))</f>
        <v>50000</v>
      </c>
      <c r="J30" s="7" t="n">
        <f aca="false">IF(9&lt;=Допущения!$C$40,0,IF(9&lt;=Допущения!$C$42,Допущения!$C$41,Допущения!$C$43))</f>
        <v>50000</v>
      </c>
      <c r="K30" s="7" t="n">
        <f aca="false">IF(10&lt;=Допущения!$C$40,0,IF(10&lt;=Допущения!$C$42,Допущения!$C$41,Допущения!$C$43))</f>
        <v>50000</v>
      </c>
      <c r="L30" s="7" t="n">
        <f aca="false">IF(11&lt;=Допущения!$C$40,0,IF(11&lt;=Допущения!$C$42,Допущения!$C$41,Допущения!$C$43))</f>
        <v>50000</v>
      </c>
      <c r="M30" s="7" t="n">
        <f aca="false">IF(12&lt;=Допущения!$C$40,0,IF(12&lt;=Допущения!$C$42,Допущения!$C$41,Допущения!$C$43))</f>
        <v>50000</v>
      </c>
      <c r="N30" s="7" t="n">
        <f aca="false">IF(13&lt;=Допущения!$C$40,0,IF(13&lt;=Допущения!$C$42,Допущения!$C$41,Допущения!$C$43))</f>
        <v>100000</v>
      </c>
      <c r="O30" s="7" t="n">
        <f aca="false">IF(14&lt;=Допущения!$C$40,0,IF(14&lt;=Допущения!$C$42,Допущения!$C$41,Допущения!$C$43))</f>
        <v>100000</v>
      </c>
      <c r="P30" s="7" t="n">
        <f aca="false">IF(15&lt;=Допущения!$C$40,0,IF(15&lt;=Допущения!$C$42,Допущения!$C$41,Допущения!$C$43))</f>
        <v>100000</v>
      </c>
      <c r="Q30" s="7" t="n">
        <f aca="false">IF(16&lt;=Допущения!$C$40,0,IF(16&lt;=Допущения!$C$42,Допущения!$C$41,Допущения!$C$43))</f>
        <v>100000</v>
      </c>
      <c r="R30" s="7" t="n">
        <f aca="false">IF(17&lt;=Допущения!$C$40,0,IF(17&lt;=Допущения!$C$42,Допущения!$C$41,Допущения!$C$43))</f>
        <v>100000</v>
      </c>
      <c r="S30" s="7" t="n">
        <f aca="false">IF(18&lt;=Допущения!$C$40,0,IF(18&lt;=Допущения!$C$42,Допущения!$C$41,Допущения!$C$43))</f>
        <v>100000</v>
      </c>
      <c r="T30" s="7" t="n">
        <f aca="false">IF(19&lt;=Допущения!$C$40,0,IF(19&lt;=Допущения!$C$42,Допущения!$C$41,Допущения!$C$43))</f>
        <v>100000</v>
      </c>
      <c r="U30" s="7" t="n">
        <f aca="false">IF(20&lt;=Допущения!$C$40,0,IF(20&lt;=Допущения!$C$42,Допущения!$C$41,Допущения!$C$43))</f>
        <v>100000</v>
      </c>
      <c r="V30" s="7" t="n">
        <f aca="false">IF(21&lt;=Допущения!$C$40,0,IF(21&lt;=Допущения!$C$42,Допущения!$C$41,Допущения!$C$43))</f>
        <v>100000</v>
      </c>
      <c r="W30" s="7" t="n">
        <f aca="false">IF(22&lt;=Допущения!$C$40,0,IF(22&lt;=Допущения!$C$42,Допущения!$C$41,Допущения!$C$43))</f>
        <v>100000</v>
      </c>
      <c r="X30" s="7" t="n">
        <f aca="false">IF(23&lt;=Допущения!$C$40,0,IF(23&lt;=Допущения!$C$42,Допущения!$C$41,Допущения!$C$43))</f>
        <v>100000</v>
      </c>
      <c r="Y30" s="7" t="n">
        <f aca="false">IF(24&lt;=Допущения!$C$40,0,IF(24&lt;=Допущения!$C$42,Допущения!$C$41,Допущения!$C$43))</f>
        <v>100000</v>
      </c>
      <c r="Z30" s="8" t="s">
        <v>254</v>
      </c>
    </row>
    <row r="31" customFormat="false" ht="32.8" hidden="false" customHeight="false" outlineLevel="0" collapsed="false">
      <c r="A31" s="17" t="s">
        <v>255</v>
      </c>
      <c r="B31" s="7" t="n">
        <f aca="false">Допущения!$C$49/12</f>
        <v>246.583333333333</v>
      </c>
      <c r="C31" s="7" t="n">
        <f aca="false">Допущения!$C$49/12</f>
        <v>246.583333333333</v>
      </c>
      <c r="D31" s="7" t="n">
        <f aca="false">Допущения!$C$49/12</f>
        <v>246.583333333333</v>
      </c>
      <c r="E31" s="7" t="n">
        <f aca="false">Допущения!$C$49/12</f>
        <v>246.583333333333</v>
      </c>
      <c r="F31" s="7" t="n">
        <f aca="false">Допущения!$C$49/12</f>
        <v>246.583333333333</v>
      </c>
      <c r="G31" s="7" t="n">
        <f aca="false">Допущения!$C$49/12</f>
        <v>246.583333333333</v>
      </c>
      <c r="H31" s="7" t="n">
        <f aca="false">Допущения!$C$49/12</f>
        <v>246.583333333333</v>
      </c>
      <c r="I31" s="7" t="n">
        <f aca="false">Допущения!$C$49/12</f>
        <v>246.583333333333</v>
      </c>
      <c r="J31" s="7" t="n">
        <f aca="false">Допущения!$C$49/12</f>
        <v>246.583333333333</v>
      </c>
      <c r="K31" s="7" t="n">
        <f aca="false">Допущения!$C$49/12</f>
        <v>246.583333333333</v>
      </c>
      <c r="L31" s="7" t="n">
        <f aca="false">Допущения!$C$49/12</f>
        <v>246.583333333333</v>
      </c>
      <c r="M31" s="7" t="n">
        <f aca="false">Допущения!$C$49/12</f>
        <v>246.583333333333</v>
      </c>
      <c r="N31" s="7" t="n">
        <f aca="false">Допущения!$C$49/12</f>
        <v>246.583333333333</v>
      </c>
      <c r="O31" s="7" t="n">
        <f aca="false">Допущения!$C$49/12</f>
        <v>246.583333333333</v>
      </c>
      <c r="P31" s="7" t="n">
        <f aca="false">Допущения!$C$49/12</f>
        <v>246.583333333333</v>
      </c>
      <c r="Q31" s="7" t="n">
        <f aca="false">Допущения!$C$49/12</f>
        <v>246.583333333333</v>
      </c>
      <c r="R31" s="7" t="n">
        <f aca="false">Допущения!$C$49/12</f>
        <v>246.583333333333</v>
      </c>
      <c r="S31" s="7" t="n">
        <f aca="false">Допущения!$C$49/12</f>
        <v>246.583333333333</v>
      </c>
      <c r="T31" s="7" t="n">
        <f aca="false">Допущения!$C$49/12</f>
        <v>246.583333333333</v>
      </c>
      <c r="U31" s="7" t="n">
        <f aca="false">Допущения!$C$49/12</f>
        <v>246.583333333333</v>
      </c>
      <c r="V31" s="7" t="n">
        <f aca="false">Допущения!$C$49/12</f>
        <v>246.583333333333</v>
      </c>
      <c r="W31" s="7" t="n">
        <f aca="false">Допущения!$C$49/12</f>
        <v>246.583333333333</v>
      </c>
      <c r="X31" s="7" t="n">
        <f aca="false">Допущения!$C$49/12</f>
        <v>246.583333333333</v>
      </c>
      <c r="Y31" s="7" t="n">
        <f aca="false">Допущения!$C$49/12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100187.935333333</v>
      </c>
      <c r="E32" s="14" t="n">
        <f aca="false">SUM(E16:E31)</f>
        <v>150445.954685958</v>
      </c>
      <c r="F32" s="14" t="n">
        <f aca="false">SUM(F16:F31)</f>
        <v>150672.565058163</v>
      </c>
      <c r="G32" s="14" t="n">
        <f aca="false">SUM(G16:G31)</f>
        <v>150879.812529299</v>
      </c>
      <c r="H32" s="14" t="n">
        <f aca="false">SUM(H16:H31)</f>
        <v>151069.914351066</v>
      </c>
      <c r="I32" s="14" t="n">
        <f aca="false">SUM(I16:I31)</f>
        <v>151244.825247638</v>
      </c>
      <c r="J32" s="14" t="n">
        <f aca="false">SUM(J16:J31)</f>
        <v>151492.922081357</v>
      </c>
      <c r="K32" s="14" t="n">
        <f aca="false">SUM(K16:K31)</f>
        <v>151691.185810877</v>
      </c>
      <c r="L32" s="14" t="n">
        <f aca="false">SUM(L16:L31)</f>
        <v>151874.81891654</v>
      </c>
      <c r="M32" s="14" t="n">
        <f aca="false">SUM(M16:M31)</f>
        <v>152146.268915823</v>
      </c>
      <c r="N32" s="14" t="n">
        <f aca="false">SUM(N16:N31)</f>
        <v>202354.139796263</v>
      </c>
      <c r="O32" s="14" t="n">
        <f aca="false">SUM(O16:O31)</f>
        <v>202547.841114946</v>
      </c>
      <c r="P32" s="14" t="n">
        <f aca="false">SUM(P16:P31)</f>
        <v>202843.905501002</v>
      </c>
      <c r="Q32" s="14" t="n">
        <f aca="false">SUM(Q16:Q31)</f>
        <v>203062.571672856</v>
      </c>
      <c r="R32" s="14" t="n">
        <f aca="false">SUM(R16:R31)</f>
        <v>203391.871875313</v>
      </c>
      <c r="S32" s="14" t="n">
        <f aca="false">SUM(S16:S31)</f>
        <v>203633.287563769</v>
      </c>
      <c r="T32" s="14" t="n">
        <f aca="false">SUM(T16:T31)</f>
        <v>203993.904882877</v>
      </c>
      <c r="U32" s="14" t="n">
        <f aca="false">SUM(U16:U31)</f>
        <v>204394.975612383</v>
      </c>
      <c r="V32" s="14" t="n">
        <f aca="false">SUM(V16:V31)</f>
        <v>204691.001168155</v>
      </c>
      <c r="W32" s="14" t="n">
        <f aca="false">SUM(W16:W31)</f>
        <v>205117.79453436</v>
      </c>
      <c r="X32" s="14" t="n">
        <f aca="false">SUM(X16:X31)</f>
        <v>205582.708730459</v>
      </c>
      <c r="Y32" s="14" t="n">
        <f aca="false">SUM(Y16:Y31)</f>
        <v>206083.873671996</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3947.9</v>
      </c>
      <c r="E34" s="7" t="n">
        <f aca="false">SUM($E$12:E12)</f>
        <v>8485.8175875</v>
      </c>
      <c r="F34" s="7" t="n">
        <f aca="false">SUM($E$12:F12)</f>
        <v>21062.1486018167</v>
      </c>
      <c r="G34" s="7" t="n">
        <f aca="false">SUM($E$12:G12)</f>
        <v>37333.1881459185</v>
      </c>
      <c r="H34" s="7" t="n">
        <f aca="false">SUM($E$12:H12)</f>
        <v>56948.5567813911</v>
      </c>
      <c r="I34" s="7" t="n">
        <f aca="false">SUM($E$12:I12)</f>
        <v>79597.9016076686</v>
      </c>
      <c r="J34" s="7" t="n">
        <f aca="false">SUM($E$12:J12)</f>
        <v>105984.071142088</v>
      </c>
      <c r="K34" s="7" t="n">
        <f aca="false">SUM($E$12:K12)</f>
        <v>135770.568026776</v>
      </c>
      <c r="L34" s="7" t="n">
        <f aca="false">SUM($E$12:L12)</f>
        <v>168658.75771103</v>
      </c>
      <c r="M34" s="7" t="n">
        <f aca="false">SUM($E$12:M12)</f>
        <v>205356.851139991</v>
      </c>
      <c r="N34" s="7" t="n">
        <f aca="false">SUM($E$12:N12)</f>
        <v>245539.81460068</v>
      </c>
      <c r="O34" s="7" t="n">
        <f aca="false">SUM($E$12:O12)</f>
        <v>288918.662524348</v>
      </c>
      <c r="P34" s="7" t="n">
        <f aca="false">SUM($E$12:P12)</f>
        <v>336205.19857482</v>
      </c>
      <c r="Q34" s="7" t="n">
        <f aca="false">SUM($E$12:Q12)</f>
        <v>387084.315768107</v>
      </c>
      <c r="R34" s="7" t="n">
        <f aca="false">SUM($E$12:R12)</f>
        <v>442241.181875216</v>
      </c>
      <c r="S34" s="7" t="n">
        <f aca="false">SUM($E$12:S12)</f>
        <v>501341.389603179</v>
      </c>
      <c r="T34" s="7" t="n">
        <f aca="false">SUM($E$12:T12)</f>
        <v>565049.520803737</v>
      </c>
      <c r="U34" s="7" t="n">
        <f aca="false">SUM($E$12:U12)</f>
        <v>633978.490772569</v>
      </c>
      <c r="V34" s="7" t="n">
        <f aca="false">SUM($E$12:V12)</f>
        <v>707735.912402933</v>
      </c>
      <c r="W34" s="7" t="n">
        <f aca="false">SUM($E$12:W12)</f>
        <v>786929.421719716</v>
      </c>
      <c r="X34" s="7" t="n">
        <f aca="false">SUM($E$12:X12)</f>
        <v>872123.052900381</v>
      </c>
      <c r="Y34" s="7" t="n">
        <f aca="false">SUM($E$12:Y12)</f>
        <v>963842.406675303</v>
      </c>
      <c r="Z34" s="8" t="s">
        <v>260</v>
      </c>
    </row>
    <row r="35" customFormat="false" ht="22.35" hidden="false" customHeight="false" outlineLevel="0" collapsed="false">
      <c r="A35" s="17" t="s">
        <v>261</v>
      </c>
      <c r="B35" s="7" t="n">
        <f aca="false">IF(B34&gt;Допущения!$C$47,B12*Допущения!$C$48,0)</f>
        <v>0</v>
      </c>
      <c r="C35" s="7" t="n">
        <f aca="false">IF(C34&gt;Допущения!$C$47,C12*Допущения!$C$48,0)</f>
        <v>0</v>
      </c>
      <c r="D35" s="7" t="n">
        <f aca="false">IF(D34&gt;Допущения!$C$47,D12*Допущения!$C$48,0)</f>
        <v>0</v>
      </c>
      <c r="E35" s="7" t="n">
        <f aca="false">IF(E34&gt;Допущения!$C$47,E12*Допущения!$C$48,0)</f>
        <v>0</v>
      </c>
      <c r="F35" s="7" t="n">
        <f aca="false">IF(F34&gt;Допущения!$C$47,F12*Допущения!$C$48,0)</f>
        <v>0</v>
      </c>
      <c r="G35" s="7" t="n">
        <f aca="false">IF(G34&gt;Допущения!$C$47,G12*Допущения!$C$48,0)</f>
        <v>0</v>
      </c>
      <c r="H35" s="7" t="n">
        <f aca="false">IF(H34&gt;Допущения!$C$47,H12*Допущения!$C$48,0)</f>
        <v>0</v>
      </c>
      <c r="I35" s="7" t="n">
        <f aca="false">IF(I34&gt;Допущения!$C$47,I12*Допущения!$C$48,0)</f>
        <v>0</v>
      </c>
      <c r="J35" s="7" t="n">
        <f aca="false">IF(J34&gt;Допущения!$C$47,J12*Допущения!$C$48,0)</f>
        <v>0</v>
      </c>
      <c r="K35" s="7" t="n">
        <f aca="false">IF(K34&gt;Допущения!$C$47,K12*Допущения!$C$48,0)</f>
        <v>0</v>
      </c>
      <c r="L35" s="7" t="n">
        <f aca="false">IF(L34&gt;Допущения!$C$47,L12*Допущения!$C$48,0)</f>
        <v>0</v>
      </c>
      <c r="M35" s="7" t="n">
        <f aca="false">IF(M34&gt;Допущения!$C$47,M12*Допущения!$C$48,0)</f>
        <v>0</v>
      </c>
      <c r="N35" s="7" t="n">
        <f aca="false">IF(N34&gt;Допущения!$C$47,N12*Допущения!$C$48,0)</f>
        <v>0</v>
      </c>
      <c r="O35" s="7" t="n">
        <f aca="false">IF(O34&gt;Допущения!$C$47,O12*Допущения!$C$48,0)</f>
        <v>0</v>
      </c>
      <c r="P35" s="7" t="n">
        <f aca="false">IF(P34&gt;Допущения!$C$47,P12*Допущения!$C$48,0)</f>
        <v>0</v>
      </c>
      <c r="Q35" s="7" t="n">
        <f aca="false">IF(Q34&gt;Допущения!$C$47,Q12*Допущения!$C$48,0)</f>
        <v>0</v>
      </c>
      <c r="R35" s="7" t="n">
        <f aca="false">IF(R34&gt;Допущения!$C$47,R12*Допущения!$C$48,0)</f>
        <v>0</v>
      </c>
      <c r="S35" s="7" t="n">
        <f aca="false">IF(S34&gt;Допущения!$C$47,S12*Допущения!$C$48,0)</f>
        <v>0</v>
      </c>
      <c r="T35" s="7" t="n">
        <f aca="false">IF(T34&gt;Допущения!$C$47,T12*Допущения!$C$48,0)</f>
        <v>0</v>
      </c>
      <c r="U35" s="7" t="n">
        <f aca="false">IF(U34&gt;Допущения!$C$47,U12*Допущения!$C$48,0)</f>
        <v>0</v>
      </c>
      <c r="V35" s="7" t="n">
        <f aca="false">IF(V34&gt;Допущения!$C$47,V12*Допущения!$C$48,0)</f>
        <v>0</v>
      </c>
      <c r="W35" s="7" t="n">
        <f aca="false">IF(W34&gt;Допущения!$C$47,W12*Допущения!$C$48,0)</f>
        <v>0</v>
      </c>
      <c r="X35" s="7" t="n">
        <f aca="false">IF(X34&gt;Допущения!$C$47,X12*Допущения!$C$48,0)</f>
        <v>0</v>
      </c>
      <c r="Y35" s="7" t="n">
        <f aca="false">IF(Y34&gt;Допущения!$C$47,Y12*Допущения!$C$48,0)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-96240.0353333333</v>
      </c>
      <c r="E36" s="7" t="n">
        <f aca="false">E12-E32-E35</f>
        <v>-141960.137098458</v>
      </c>
      <c r="F36" s="7" t="n">
        <f aca="false">F12-F32-F35</f>
        <v>-138096.234043846</v>
      </c>
      <c r="G36" s="7" t="n">
        <f aca="false">G12-G32-G35</f>
        <v>-134608.772985197</v>
      </c>
      <c r="H36" s="7" t="n">
        <f aca="false">H12-H32-H35</f>
        <v>-131454.545715594</v>
      </c>
      <c r="I36" s="7" t="n">
        <f aca="false">I12-I32-I35</f>
        <v>-128595.48042136</v>
      </c>
      <c r="J36" s="7" t="n">
        <f aca="false">J12-J32-J35</f>
        <v>-125106.752546937</v>
      </c>
      <c r="K36" s="7" t="n">
        <f aca="false">K12-K32-K35</f>
        <v>-121904.68892619</v>
      </c>
      <c r="L36" s="7" t="n">
        <f aca="false">L12-L32-L35</f>
        <v>-118986.629232285</v>
      </c>
      <c r="M36" s="7" t="n">
        <f aca="false">M12-M32-M35</f>
        <v>-115448.175486862</v>
      </c>
      <c r="N36" s="7" t="n">
        <f aca="false">N12-N32-N35</f>
        <v>-162171.176335574</v>
      </c>
      <c r="O36" s="7" t="n">
        <f aca="false">O12-O32-O35</f>
        <v>-159168.993191278</v>
      </c>
      <c r="P36" s="7" t="n">
        <f aca="false">P12-P32-P35</f>
        <v>-155557.36945053</v>
      </c>
      <c r="Q36" s="7" t="n">
        <f aca="false">Q12-Q32-Q35</f>
        <v>-152183.454479569</v>
      </c>
      <c r="R36" s="7" t="n">
        <f aca="false">R12-R32-R35</f>
        <v>-148235.005768204</v>
      </c>
      <c r="S36" s="7" t="n">
        <f aca="false">S12-S32-S35</f>
        <v>-144533.079835806</v>
      </c>
      <c r="T36" s="7" t="n">
        <f aca="false">T12-T32-T35</f>
        <v>-140285.773682319</v>
      </c>
      <c r="U36" s="7" t="n">
        <f aca="false">U12-U32-U35</f>
        <v>-135466.005643551</v>
      </c>
      <c r="V36" s="7" t="n">
        <f aca="false">V12-V32-V35</f>
        <v>-130933.579537791</v>
      </c>
      <c r="W36" s="7" t="n">
        <f aca="false">W12-W32-W35</f>
        <v>-125924.285217578</v>
      </c>
      <c r="X36" s="7" t="n">
        <f aca="false">X12-X32-X35</f>
        <v>-120389.077549794</v>
      </c>
      <c r="Y36" s="7" t="n">
        <f aca="false">Y12-Y32-Y35</f>
        <v>-114364.519897074</v>
      </c>
    </row>
    <row r="37" customFormat="false" ht="32.8" hidden="false" customHeight="false" outlineLevel="0" collapsed="false">
      <c r="A37" s="17" t="s">
        <v>264</v>
      </c>
      <c r="B37" s="7" t="n">
        <f aca="false">MAX(B36*Допущения!$C$45,B12*Допущения!$C$46)</f>
        <v>0</v>
      </c>
      <c r="C37" s="7" t="n">
        <f aca="false">MAX(C36*Допущения!$C$45,C12*Допущения!$C$46)</f>
        <v>0</v>
      </c>
      <c r="D37" s="7" t="n">
        <f aca="false">MAX(D36*Допущения!$C$45,D12*Допущения!$C$46)</f>
        <v>118.437</v>
      </c>
      <c r="E37" s="7" t="n">
        <f aca="false">MAX(E36*Допущения!$C$45,E12*Допущения!$C$46)</f>
        <v>254.574527625</v>
      </c>
      <c r="F37" s="7" t="n">
        <f aca="false">MAX(F36*Допущения!$C$45,F12*Допущения!$C$46)</f>
        <v>377.2899304295</v>
      </c>
      <c r="G37" s="7" t="n">
        <f aca="false">MAX(G36*Допущения!$C$45,G12*Допущения!$C$46)</f>
        <v>488.131186323054</v>
      </c>
      <c r="H37" s="7" t="n">
        <f aca="false">MAX(H36*Допущения!$C$45,H12*Допущения!$C$46)</f>
        <v>588.461059064179</v>
      </c>
      <c r="I37" s="7" t="n">
        <f aca="false">MAX(I36*Допущения!$C$45,I12*Допущения!$C$46)</f>
        <v>679.480344788323</v>
      </c>
      <c r="J37" s="7" t="n">
        <f aca="false">MAX(J36*Допущения!$C$45,J12*Допущения!$C$46)</f>
        <v>791.585086032583</v>
      </c>
      <c r="K37" s="7" t="n">
        <f aca="false">MAX(K36*Допущения!$C$45,K12*Допущения!$C$46)</f>
        <v>893.594906540629</v>
      </c>
      <c r="L37" s="7" t="n">
        <f aca="false">MAX(L36*Допущения!$C$45,L12*Допущения!$C$46)</f>
        <v>986.645690527626</v>
      </c>
      <c r="M37" s="7" t="n">
        <f aca="false">MAX(M36*Допущения!$C$45,M12*Допущения!$C$46)</f>
        <v>1100.94280286882</v>
      </c>
      <c r="N37" s="7" t="n">
        <f aca="false">MAX(N36*Допущения!$C$45,N12*Допущения!$C$46)</f>
        <v>1205.48890382068</v>
      </c>
      <c r="O37" s="7" t="n">
        <f aca="false">MAX(O36*Допущения!$C$45,O12*Допущения!$C$46)</f>
        <v>1301.36543771004</v>
      </c>
      <c r="P37" s="7" t="n">
        <f aca="false">MAX(P36*Допущения!$C$45,P12*Допущения!$C$46)</f>
        <v>1418.59608151417</v>
      </c>
      <c r="Q37" s="7" t="n">
        <f aca="false">MAX(Q36*Допущения!$C$45,Q12*Допущения!$C$46)</f>
        <v>1526.3735157986</v>
      </c>
      <c r="R37" s="7" t="n">
        <f aca="false">MAX(R36*Допущения!$C$45,R12*Допущения!$C$46)</f>
        <v>1654.70598321326</v>
      </c>
      <c r="S37" s="7" t="n">
        <f aca="false">MAX(S36*Допущения!$C$45,S12*Допущения!$C$46)</f>
        <v>1773.0062318389</v>
      </c>
      <c r="T37" s="7" t="n">
        <f aca="false">MAX(T36*Допущения!$C$45,T12*Допущения!$C$46)</f>
        <v>1911.24393601674</v>
      </c>
      <c r="U37" s="7" t="n">
        <f aca="false">MAX(U36*Допущения!$C$45,U12*Допущения!$C$46)</f>
        <v>2067.86909906495</v>
      </c>
      <c r="V37" s="7" t="n">
        <f aca="false">MAX(V36*Допущения!$C$45,V12*Допущения!$C$46)</f>
        <v>2212.72264891094</v>
      </c>
      <c r="W37" s="7" t="n">
        <f aca="false">MAX(W36*Допущения!$C$45,W12*Допущения!$C$46)</f>
        <v>2375.80527950349</v>
      </c>
      <c r="X37" s="7" t="n">
        <f aca="false">MAX(X36*Допущения!$C$45,X12*Допущения!$C$46)</f>
        <v>2555.80893541994</v>
      </c>
      <c r="Y37" s="7" t="n">
        <f aca="false">MAX(Y36*Допущения!$C$45,Y12*Допущения!$C$46)</f>
        <v>2751.58061324766</v>
      </c>
      <c r="Z37" s="8" t="s">
        <v>265</v>
      </c>
    </row>
    <row r="38" customFormat="false" ht="15" hidden="false" customHeight="false" outlineLevel="0" collapsed="false">
      <c r="A38" s="5" t="s">
        <v>266</v>
      </c>
      <c r="B38" s="14" t="n">
        <f aca="false">B35+B37</f>
        <v>0</v>
      </c>
      <c r="C38" s="14" t="n">
        <f aca="false">C35+C37</f>
        <v>0</v>
      </c>
      <c r="D38" s="14" t="n">
        <f aca="false">D35+D37</f>
        <v>118.437</v>
      </c>
      <c r="E38" s="14" t="n">
        <f aca="false">E35+E37</f>
        <v>254.574527625</v>
      </c>
      <c r="F38" s="14" t="n">
        <f aca="false">F35+F37</f>
        <v>377.2899304295</v>
      </c>
      <c r="G38" s="14" t="n">
        <f aca="false">G35+G37</f>
        <v>488.131186323054</v>
      </c>
      <c r="H38" s="14" t="n">
        <f aca="false">H35+H37</f>
        <v>588.461059064179</v>
      </c>
      <c r="I38" s="14" t="n">
        <f aca="false">I35+I37</f>
        <v>679.480344788323</v>
      </c>
      <c r="J38" s="14" t="n">
        <f aca="false">J35+J37</f>
        <v>791.585086032583</v>
      </c>
      <c r="K38" s="14" t="n">
        <f aca="false">K35+K37</f>
        <v>893.594906540629</v>
      </c>
      <c r="L38" s="14" t="n">
        <f aca="false">L35+L37</f>
        <v>986.645690527626</v>
      </c>
      <c r="M38" s="14" t="n">
        <f aca="false">M35+M37</f>
        <v>1100.94280286882</v>
      </c>
      <c r="N38" s="14" t="n">
        <f aca="false">N35+N37</f>
        <v>1205.48890382068</v>
      </c>
      <c r="O38" s="14" t="n">
        <f aca="false">O35+O37</f>
        <v>1301.36543771004</v>
      </c>
      <c r="P38" s="14" t="n">
        <f aca="false">P35+P37</f>
        <v>1418.59608151417</v>
      </c>
      <c r="Q38" s="14" t="n">
        <f aca="false">Q35+Q37</f>
        <v>1526.3735157986</v>
      </c>
      <c r="R38" s="14" t="n">
        <f aca="false">R35+R37</f>
        <v>1654.70598321326</v>
      </c>
      <c r="S38" s="14" t="n">
        <f aca="false">S35+S37</f>
        <v>1773.0062318389</v>
      </c>
      <c r="T38" s="14" t="n">
        <f aca="false">T35+T37</f>
        <v>1911.24393601674</v>
      </c>
      <c r="U38" s="14" t="n">
        <f aca="false">U35+U37</f>
        <v>2067.86909906495</v>
      </c>
      <c r="V38" s="14" t="n">
        <f aca="false">V35+V37</f>
        <v>2212.72264891094</v>
      </c>
      <c r="W38" s="14" t="n">
        <f aca="false">W35+W37</f>
        <v>2375.80527950349</v>
      </c>
      <c r="X38" s="14" t="n">
        <f aca="false">X35+X37</f>
        <v>2555.80893541994</v>
      </c>
      <c r="Y38" s="14" t="n">
        <f aca="false">Y35+Y37</f>
        <v>2751.58061324766</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-96240.0353333333</v>
      </c>
      <c r="E40" s="14" t="n">
        <f aca="false">E12-E32</f>
        <v>-141960.137098458</v>
      </c>
      <c r="F40" s="14" t="n">
        <f aca="false">F12-F32</f>
        <v>-138096.234043846</v>
      </c>
      <c r="G40" s="14" t="n">
        <f aca="false">G12-G32</f>
        <v>-134608.772985197</v>
      </c>
      <c r="H40" s="14" t="n">
        <f aca="false">H12-H32</f>
        <v>-131454.545715594</v>
      </c>
      <c r="I40" s="14" t="n">
        <f aca="false">I12-I32</f>
        <v>-128595.48042136</v>
      </c>
      <c r="J40" s="14" t="n">
        <f aca="false">J12-J32</f>
        <v>-125106.752546937</v>
      </c>
      <c r="K40" s="14" t="n">
        <f aca="false">K12-K32</f>
        <v>-121904.68892619</v>
      </c>
      <c r="L40" s="14" t="n">
        <f aca="false">L12-L32</f>
        <v>-118986.629232285</v>
      </c>
      <c r="M40" s="14" t="n">
        <f aca="false">M12-M32</f>
        <v>-115448.175486862</v>
      </c>
      <c r="N40" s="14" t="n">
        <f aca="false">N12-N32</f>
        <v>-162171.176335574</v>
      </c>
      <c r="O40" s="14" t="n">
        <f aca="false">O12-O32</f>
        <v>-159168.993191278</v>
      </c>
      <c r="P40" s="14" t="n">
        <f aca="false">P12-P32</f>
        <v>-155557.36945053</v>
      </c>
      <c r="Q40" s="14" t="n">
        <f aca="false">Q12-Q32</f>
        <v>-152183.454479569</v>
      </c>
      <c r="R40" s="14" t="n">
        <f aca="false">R12-R32</f>
        <v>-148235.005768204</v>
      </c>
      <c r="S40" s="14" t="n">
        <f aca="false">S12-S32</f>
        <v>-144533.079835806</v>
      </c>
      <c r="T40" s="14" t="n">
        <f aca="false">T12-T32</f>
        <v>-140285.773682319</v>
      </c>
      <c r="U40" s="14" t="n">
        <f aca="false">U12-U32</f>
        <v>-135466.005643551</v>
      </c>
      <c r="V40" s="14" t="n">
        <f aca="false">V12-V32</f>
        <v>-130933.579537791</v>
      </c>
      <c r="W40" s="14" t="n">
        <f aca="false">W12-W32</f>
        <v>-125924.285217578</v>
      </c>
      <c r="X40" s="14" t="n">
        <f aca="false">X12-X32</f>
        <v>-120389.077549794</v>
      </c>
      <c r="Y40" s="14" t="n">
        <f aca="false">Y12-Y32</f>
        <v>-114364.519897074</v>
      </c>
    </row>
    <row r="41" customFormat="false" ht="15" hidden="false" customHeight="false" outlineLevel="0" collapsed="false">
      <c r="A41" s="5" t="s">
        <v>269</v>
      </c>
      <c r="B41" s="14" t="n">
        <f aca="false">B40-B38</f>
        <v>-99954.5833333333</v>
      </c>
      <c r="C41" s="14" t="n">
        <f aca="false">C40-C38</f>
        <v>-99954.5833333333</v>
      </c>
      <c r="D41" s="14" t="n">
        <f aca="false">D40-D38</f>
        <v>-96358.4723333333</v>
      </c>
      <c r="E41" s="14" t="n">
        <f aca="false">E40-E38</f>
        <v>-142214.711626083</v>
      </c>
      <c r="F41" s="14" t="n">
        <f aca="false">F40-F38</f>
        <v>-138473.523974276</v>
      </c>
      <c r="G41" s="14" t="n">
        <f aca="false">G40-G38</f>
        <v>-135096.90417152</v>
      </c>
      <c r="H41" s="14" t="n">
        <f aca="false">H40-H38</f>
        <v>-132043.006774658</v>
      </c>
      <c r="I41" s="14" t="n">
        <f aca="false">I40-I38</f>
        <v>-129274.960766149</v>
      </c>
      <c r="J41" s="14" t="n">
        <f aca="false">J40-J38</f>
        <v>-125898.33763297</v>
      </c>
      <c r="K41" s="14" t="n">
        <f aca="false">K40-K38</f>
        <v>-122798.28383273</v>
      </c>
      <c r="L41" s="14" t="n">
        <f aca="false">L40-L38</f>
        <v>-119973.274922813</v>
      </c>
      <c r="M41" s="14" t="n">
        <f aca="false">M40-M38</f>
        <v>-116549.118289731</v>
      </c>
      <c r="N41" s="14" t="n">
        <f aca="false">N40-N38</f>
        <v>-163376.665239395</v>
      </c>
      <c r="O41" s="14" t="n">
        <f aca="false">O40-O38</f>
        <v>-160470.358628988</v>
      </c>
      <c r="P41" s="14" t="n">
        <f aca="false">P40-P38</f>
        <v>-156975.965532044</v>
      </c>
      <c r="Q41" s="14" t="n">
        <f aca="false">Q40-Q38</f>
        <v>-153709.827995368</v>
      </c>
      <c r="R41" s="14" t="n">
        <f aca="false">R40-R38</f>
        <v>-149889.711751417</v>
      </c>
      <c r="S41" s="14" t="n">
        <f aca="false">S40-S38</f>
        <v>-146306.086067645</v>
      </c>
      <c r="T41" s="14" t="n">
        <f aca="false">T40-T38</f>
        <v>-142197.017618336</v>
      </c>
      <c r="U41" s="14" t="n">
        <f aca="false">U40-U38</f>
        <v>-137533.874742616</v>
      </c>
      <c r="V41" s="14" t="n">
        <f aca="false">V40-V38</f>
        <v>-133146.302186701</v>
      </c>
      <c r="W41" s="14" t="n">
        <f aca="false">W40-W38</f>
        <v>-128300.090497081</v>
      </c>
      <c r="X41" s="14" t="n">
        <f aca="false">X40-X38</f>
        <v>-122944.886485214</v>
      </c>
      <c r="Y41" s="14" t="n">
        <f aca="false">Y40-Y38</f>
        <v>-117116.100510322</v>
      </c>
    </row>
    <row r="42" customFormat="false" ht="15" hidden="false" customHeight="false" outlineLevel="0" collapsed="false">
      <c r="A42" s="5" t="s">
        <v>270</v>
      </c>
      <c r="B42" s="14" t="n">
        <f aca="false">B14-B32-B38</f>
        <v>-99954.5833333333</v>
      </c>
      <c r="C42" s="14" t="n">
        <f aca="false">C14-C32-C38</f>
        <v>-99954.5833333333</v>
      </c>
      <c r="D42" s="14" t="n">
        <f aca="false">D14-D32-D38</f>
        <v>-95692.9723333333</v>
      </c>
      <c r="E42" s="14" t="n">
        <f aca="false">E14-E32-E38</f>
        <v>-140966.899126083</v>
      </c>
      <c r="F42" s="14" t="n">
        <f aca="false">F14-F32-F38</f>
        <v>-136809.773974276</v>
      </c>
      <c r="G42" s="14" t="n">
        <f aca="false">G14-G32-G38</f>
        <v>-133017.21667152</v>
      </c>
      <c r="H42" s="14" t="n">
        <f aca="false">H14-H32-H38</f>
        <v>-129547.381774658</v>
      </c>
      <c r="I42" s="14" t="n">
        <f aca="false">I14-I32-I38</f>
        <v>-126363.398266149</v>
      </c>
      <c r="J42" s="14" t="n">
        <f aca="false">J14-J32-J38</f>
        <v>-121905.33763297</v>
      </c>
      <c r="K42" s="14" t="n">
        <f aca="false">K14-K32-K38</f>
        <v>-118306.15883273</v>
      </c>
      <c r="L42" s="14" t="n">
        <f aca="false">L14-L32-L38</f>
        <v>-114982.024922813</v>
      </c>
      <c r="M42" s="14" t="n">
        <f aca="false">M14-M32-M38</f>
        <v>-110143.680789731</v>
      </c>
      <c r="N42" s="14" t="n">
        <f aca="false">N14-N32-N38</f>
        <v>-156388.915239395</v>
      </c>
      <c r="O42" s="14" t="n">
        <f aca="false">O14-O32-O38</f>
        <v>-152900.296128988</v>
      </c>
      <c r="P42" s="14" t="n">
        <f aca="false">P14-P32-P38</f>
        <v>-147658.965532044</v>
      </c>
      <c r="Q42" s="14" t="n">
        <f aca="false">Q14-Q32-Q38</f>
        <v>-143727.327995368</v>
      </c>
      <c r="R42" s="14" t="n">
        <f aca="false">R14-R32-R38</f>
        <v>-137910.711751417</v>
      </c>
      <c r="S42" s="14" t="n">
        <f aca="false">S14-S32-S38</f>
        <v>-133578.398567645</v>
      </c>
      <c r="T42" s="14" t="n">
        <f aca="false">T14-T32-T38</f>
        <v>-127223.267618336</v>
      </c>
      <c r="U42" s="14" t="n">
        <f aca="false">U14-U32-U38</f>
        <v>-120147.687242616</v>
      </c>
      <c r="V42" s="14" t="n">
        <f aca="false">V14-V32-V38</f>
        <v>-114845.052186701</v>
      </c>
      <c r="W42" s="14" t="n">
        <f aca="false">W14-W32-W38</f>
        <v>-107336.840497081</v>
      </c>
      <c r="X42" s="14" t="n">
        <f aca="false">X14-X32-X38</f>
        <v>-99153.2614852139</v>
      </c>
      <c r="Y42" s="14" t="n">
        <f aca="false">Y14-Y32-Y38</f>
        <v>-90329.7255103215</v>
      </c>
    </row>
    <row r="43" customFormat="false" ht="15" hidden="false" customHeight="false" outlineLevel="0" collapsed="false">
      <c r="A43" s="5" t="s">
        <v>271</v>
      </c>
      <c r="B43" s="14" t="n">
        <f aca="false">Допущения!$C$55+B42</f>
        <v>400045.416666667</v>
      </c>
      <c r="C43" s="14" t="n">
        <f aca="false">B43+C42</f>
        <v>300090.833333333</v>
      </c>
      <c r="D43" s="14" t="n">
        <f aca="false">C43+D42</f>
        <v>204397.861</v>
      </c>
      <c r="E43" s="14" t="n">
        <f aca="false">D43+E42</f>
        <v>63430.9618739167</v>
      </c>
      <c r="F43" s="14" t="n">
        <f aca="false">E43+F42</f>
        <v>-73378.812100359</v>
      </c>
      <c r="G43" s="14" t="n">
        <f aca="false">F43+G42</f>
        <v>-206396.028771879</v>
      </c>
      <c r="H43" s="14" t="n">
        <f aca="false">G43+H42</f>
        <v>-335943.410546537</v>
      </c>
      <c r="I43" s="14" t="n">
        <f aca="false">H43+I42</f>
        <v>-462306.808812686</v>
      </c>
      <c r="J43" s="14" t="n">
        <f aca="false">I43+J42</f>
        <v>-584212.146445656</v>
      </c>
      <c r="K43" s="14" t="n">
        <f aca="false">J43+K42</f>
        <v>-702518.305278386</v>
      </c>
      <c r="L43" s="14" t="n">
        <f aca="false">K43+L42</f>
        <v>-817500.330201199</v>
      </c>
      <c r="M43" s="14" t="n">
        <f aca="false">L43+M42</f>
        <v>-927644.01099093</v>
      </c>
      <c r="N43" s="14" t="n">
        <f aca="false">M43+N42</f>
        <v>-1084032.92623032</v>
      </c>
      <c r="O43" s="14" t="n">
        <f aca="false">N43+O42</f>
        <v>-1236933.22235931</v>
      </c>
      <c r="P43" s="14" t="n">
        <f aca="false">O43+P42</f>
        <v>-1384592.18789136</v>
      </c>
      <c r="Q43" s="14" t="n">
        <f aca="false">P43+Q42</f>
        <v>-1528319.51588672</v>
      </c>
      <c r="R43" s="14" t="n">
        <f aca="false">Q43+R42</f>
        <v>-1666230.22763814</v>
      </c>
      <c r="S43" s="14" t="n">
        <f aca="false">R43+S42</f>
        <v>-1799808.62620579</v>
      </c>
      <c r="T43" s="14" t="n">
        <f aca="false">S43+T42</f>
        <v>-1927031.89382412</v>
      </c>
      <c r="U43" s="14" t="n">
        <f aca="false">T43+U42</f>
        <v>-2047179.58106674</v>
      </c>
      <c r="V43" s="14" t="n">
        <f aca="false">U43+V42</f>
        <v>-2162024.63325344</v>
      </c>
      <c r="W43" s="14" t="n">
        <f aca="false">V43+W42</f>
        <v>-2269361.47375052</v>
      </c>
      <c r="X43" s="14" t="n">
        <f aca="false">W43+X42</f>
        <v>-2368514.73523574</v>
      </c>
      <c r="Y43" s="14" t="n">
        <f aca="false">X43+Y42</f>
        <v>-2458844.46074606</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275</v>
      </c>
    </row>
    <row r="2" customFormat="false" ht="15" hidden="false" customHeight="false" outlineLevel="0" collapsed="false">
      <c r="A2" s="2" t="s">
        <v>276</v>
      </c>
    </row>
    <row r="3" customFormat="false" ht="15" hidden="false" customHeight="false" outlineLevel="0" collapsed="false">
      <c r="A3" s="19" t="s">
        <v>199</v>
      </c>
      <c r="B3" s="19" t="s">
        <v>200</v>
      </c>
      <c r="C3" s="19" t="s">
        <v>201</v>
      </c>
      <c r="D3" s="19" t="s">
        <v>202</v>
      </c>
      <c r="E3" s="19" t="s">
        <v>203</v>
      </c>
      <c r="F3" s="19" t="s">
        <v>204</v>
      </c>
      <c r="G3" s="19" t="s">
        <v>205</v>
      </c>
      <c r="H3" s="19" t="s">
        <v>206</v>
      </c>
      <c r="I3" s="19" t="s">
        <v>207</v>
      </c>
      <c r="J3" s="19" t="s">
        <v>208</v>
      </c>
      <c r="K3" s="19" t="s">
        <v>209</v>
      </c>
      <c r="L3" s="19" t="s">
        <v>210</v>
      </c>
      <c r="M3" s="19" t="s">
        <v>211</v>
      </c>
      <c r="N3" s="19" t="s">
        <v>212</v>
      </c>
      <c r="O3" s="19" t="s">
        <v>213</v>
      </c>
      <c r="P3" s="19" t="s">
        <v>214</v>
      </c>
      <c r="Q3" s="19" t="s">
        <v>215</v>
      </c>
      <c r="R3" s="19" t="s">
        <v>216</v>
      </c>
      <c r="S3" s="19" t="s">
        <v>217</v>
      </c>
      <c r="T3" s="19" t="s">
        <v>218</v>
      </c>
      <c r="U3" s="19" t="s">
        <v>219</v>
      </c>
      <c r="V3" s="19" t="s">
        <v>220</v>
      </c>
      <c r="W3" s="19" t="s">
        <v>221</v>
      </c>
      <c r="X3" s="19" t="s">
        <v>222</v>
      </c>
      <c r="Y3" s="19" t="s">
        <v>223</v>
      </c>
    </row>
    <row r="4" customFormat="false" ht="15" hidden="false" customHeight="false" outlineLevel="0" collapsed="false">
      <c r="A4" s="3" t="s">
        <v>113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7" t="s">
        <v>224</v>
      </c>
      <c r="B5" s="11" t="n">
        <f aca="false">B8</f>
        <v>58</v>
      </c>
      <c r="C5" s="11" t="n">
        <f aca="false">B5+C8</f>
        <v>118</v>
      </c>
      <c r="D5" s="11" t="n">
        <f aca="false">C5+D8</f>
        <v>181</v>
      </c>
      <c r="E5" s="11" t="n">
        <f aca="false">D5+E8</f>
        <v>246</v>
      </c>
      <c r="F5" s="11" t="n">
        <f aca="false">E5+F8</f>
        <v>314</v>
      </c>
      <c r="G5" s="11" t="n">
        <f aca="false">F5+G8</f>
        <v>385</v>
      </c>
      <c r="H5" s="11" t="n">
        <f aca="false">G5+H8</f>
        <v>459</v>
      </c>
      <c r="I5" s="11" t="n">
        <f aca="false">H5+I8</f>
        <v>536</v>
      </c>
      <c r="J5" s="11" t="n">
        <f aca="false">I5+J8</f>
        <v>617</v>
      </c>
      <c r="K5" s="11" t="n">
        <f aca="false">J5+K8</f>
        <v>702</v>
      </c>
      <c r="L5" s="11" t="n">
        <f aca="false">K5+L8</f>
        <v>791</v>
      </c>
      <c r="M5" s="11" t="n">
        <f aca="false">L5+M8</f>
        <v>885</v>
      </c>
      <c r="N5" s="11" t="n">
        <f aca="false">M5+N8</f>
        <v>984</v>
      </c>
      <c r="O5" s="11" t="n">
        <f aca="false">N5+O8</f>
        <v>1088</v>
      </c>
      <c r="P5" s="11" t="n">
        <f aca="false">O5+P8</f>
        <v>1198</v>
      </c>
      <c r="Q5" s="11" t="n">
        <f aca="false">P5+Q8</f>
        <v>1314</v>
      </c>
      <c r="R5" s="11" t="n">
        <f aca="false">Q5+R8</f>
        <v>1437</v>
      </c>
      <c r="S5" s="11" t="n">
        <f aca="false">R5+S8</f>
        <v>1567</v>
      </c>
      <c r="T5" s="11" t="n">
        <f aca="false">S5+T8</f>
        <v>1705</v>
      </c>
      <c r="U5" s="11" t="n">
        <f aca="false">T5+U8</f>
        <v>1852</v>
      </c>
      <c r="V5" s="11" t="n">
        <f aca="false">U5+V8</f>
        <v>2008</v>
      </c>
      <c r="W5" s="11" t="n">
        <f aca="false">V5+W8</f>
        <v>2173</v>
      </c>
      <c r="X5" s="11" t="n">
        <f aca="false">W5+X8</f>
        <v>2349</v>
      </c>
      <c r="Y5" s="11" t="n">
        <f aca="false">X5+Y8</f>
        <v>2536</v>
      </c>
    </row>
    <row r="6" customFormat="false" ht="15" hidden="false" customHeight="false" outlineLevel="0" collapsed="false">
      <c r="A6" s="17" t="s">
        <v>225</v>
      </c>
      <c r="B6" s="11" t="n">
        <f aca="false">Допущения!$D$17*(1+Допущения!$D$18)^0</f>
        <v>25</v>
      </c>
      <c r="C6" s="11" t="n">
        <f aca="false">Допущения!$D$17*(1+Допущения!$D$18)^1</f>
        <v>27.25</v>
      </c>
      <c r="D6" s="11" t="n">
        <f aca="false">Допущения!$D$17*(1+Допущения!$D$18)^2</f>
        <v>29.7025</v>
      </c>
      <c r="E6" s="11" t="n">
        <f aca="false">Допущения!$D$17*(1+Допущения!$D$18)^3</f>
        <v>32.375725</v>
      </c>
      <c r="F6" s="11" t="n">
        <f aca="false">Допущения!$D$17*(1+Допущения!$D$18)^4</f>
        <v>35.28954025</v>
      </c>
      <c r="G6" s="11" t="n">
        <f aca="false">Допущения!$D$17*(1+Допущения!$D$18)^5</f>
        <v>38.4655988725</v>
      </c>
      <c r="H6" s="11" t="n">
        <f aca="false">Допущения!$D$17*(1+Допущения!$D$18)^6</f>
        <v>41.927502771025</v>
      </c>
      <c r="I6" s="11" t="n">
        <f aca="false">Допущения!$D$17*(1+Допущения!$D$18)^7</f>
        <v>45.7009780204173</v>
      </c>
      <c r="J6" s="11" t="n">
        <f aca="false">Допущения!$D$17*(1+Допущения!$D$18)^8</f>
        <v>49.8140660422548</v>
      </c>
      <c r="K6" s="11" t="n">
        <f aca="false">Допущения!$D$17*(1+Допущения!$D$18)^9</f>
        <v>54.2973319860578</v>
      </c>
      <c r="L6" s="11" t="n">
        <f aca="false">Допущения!$D$17*(1+Допущения!$D$18)^10</f>
        <v>59.184091864803</v>
      </c>
      <c r="M6" s="11" t="n">
        <f aca="false">Допущения!$D$17*(1+Допущения!$D$18)^11</f>
        <v>64.5106601326353</v>
      </c>
      <c r="N6" s="11" t="n">
        <f aca="false">Допущения!$D$17*(1+Допущения!$D$18)^12</f>
        <v>70.3166195445724</v>
      </c>
      <c r="O6" s="11" t="n">
        <f aca="false">Допущения!$D$17*(1+Допущения!$D$18)^13</f>
        <v>76.645115303584</v>
      </c>
      <c r="P6" s="11" t="n">
        <f aca="false">Допущения!$D$17*(1+Допущения!$D$18)^14</f>
        <v>83.5431756809065</v>
      </c>
      <c r="Q6" s="11" t="n">
        <f aca="false">Допущения!$D$17*(1+Допущения!$D$18)^15</f>
        <v>91.0620614921881</v>
      </c>
      <c r="R6" s="11" t="n">
        <f aca="false">Допущения!$D$17*(1+Допущения!$D$18)^16</f>
        <v>99.2576470264851</v>
      </c>
      <c r="S6" s="11" t="n">
        <f aca="false">Допущения!$D$17*(1+Допущения!$D$18)^17</f>
        <v>108.190835258869</v>
      </c>
      <c r="T6" s="11" t="n">
        <f aca="false">Допущения!$D$17*(1+Допущения!$D$18)^18</f>
        <v>117.928010432167</v>
      </c>
      <c r="U6" s="11" t="n">
        <f aca="false">Допущения!$D$17*(1+Допущения!$D$18)^19</f>
        <v>128.541531371062</v>
      </c>
      <c r="V6" s="11" t="n">
        <f aca="false">Допущения!$D$17*(1+Допущения!$D$18)^20</f>
        <v>140.110269194458</v>
      </c>
      <c r="W6" s="11" t="n">
        <f aca="false">Допущения!$D$17*(1+Допущения!$D$18)^21</f>
        <v>152.720193421959</v>
      </c>
      <c r="X6" s="11" t="n">
        <f aca="false">Допущения!$D$17*(1+Допущения!$D$18)^22</f>
        <v>166.465010829935</v>
      </c>
      <c r="Y6" s="11" t="n">
        <f aca="false">Допущения!$D$17*(1+Допущения!$D$18)^23</f>
        <v>181.446861804629</v>
      </c>
    </row>
    <row r="7" customFormat="false" ht="22.35" hidden="false" customHeight="false" outlineLevel="0" collapsed="false">
      <c r="A7" s="17" t="s">
        <v>226</v>
      </c>
      <c r="B7" s="11" t="n">
        <f aca="false">Допущения!$D$35/Допущения!$D$19</f>
        <v>33.3333333333333</v>
      </c>
      <c r="C7" s="11" t="n">
        <f aca="false">Допущения!$D$35/Допущения!$D$19</f>
        <v>33.3333333333333</v>
      </c>
      <c r="D7" s="11" t="n">
        <f aca="false">Допущения!$D$35/Допущения!$D$19</f>
        <v>33.3333333333333</v>
      </c>
      <c r="E7" s="11" t="n">
        <f aca="false">Допущения!$D$35/Допущения!$D$19</f>
        <v>33.3333333333333</v>
      </c>
      <c r="F7" s="11" t="n">
        <f aca="false">Допущения!$D$35/Допущения!$D$19</f>
        <v>33.3333333333333</v>
      </c>
      <c r="G7" s="11" t="n">
        <f aca="false">Допущения!$D$35/Допущения!$D$19</f>
        <v>33.3333333333333</v>
      </c>
      <c r="H7" s="11" t="n">
        <f aca="false">Допущения!$D$35/Допущения!$D$19</f>
        <v>33.3333333333333</v>
      </c>
      <c r="I7" s="11" t="n">
        <f aca="false">Допущения!$D$35/Допущения!$D$19</f>
        <v>33.3333333333333</v>
      </c>
      <c r="J7" s="11" t="n">
        <f aca="false">Допущения!$D$35/Допущения!$D$19</f>
        <v>33.3333333333333</v>
      </c>
      <c r="K7" s="11" t="n">
        <f aca="false">Допущения!$D$35/Допущения!$D$19</f>
        <v>33.3333333333333</v>
      </c>
      <c r="L7" s="11" t="n">
        <f aca="false">Допущения!$D$35/Допущения!$D$19</f>
        <v>33.3333333333333</v>
      </c>
      <c r="M7" s="11" t="n">
        <f aca="false">Допущения!$D$35/Допущения!$D$19</f>
        <v>33.3333333333333</v>
      </c>
      <c r="N7" s="11" t="n">
        <f aca="false">Допущения!$D$35/Допущения!$D$19</f>
        <v>33.3333333333333</v>
      </c>
      <c r="O7" s="11" t="n">
        <f aca="false">Допущения!$D$35/Допущения!$D$19</f>
        <v>33.3333333333333</v>
      </c>
      <c r="P7" s="11" t="n">
        <f aca="false">Допущения!$D$35/Допущения!$D$19</f>
        <v>33.3333333333333</v>
      </c>
      <c r="Q7" s="11" t="n">
        <f aca="false">Допущения!$D$35/Допущения!$D$19</f>
        <v>33.3333333333333</v>
      </c>
      <c r="R7" s="11" t="n">
        <f aca="false">Допущения!$D$35/Допущения!$D$19</f>
        <v>33.3333333333333</v>
      </c>
      <c r="S7" s="11" t="n">
        <f aca="false">Допущения!$D$35/Допущения!$D$19</f>
        <v>33.3333333333333</v>
      </c>
      <c r="T7" s="11" t="n">
        <f aca="false">Допущения!$D$35/Допущения!$D$19</f>
        <v>33.3333333333333</v>
      </c>
      <c r="U7" s="11" t="n">
        <f aca="false">Допущения!$D$35/Допущения!$D$19</f>
        <v>33.3333333333333</v>
      </c>
      <c r="V7" s="11" t="n">
        <f aca="false">Допущения!$D$35/Допущения!$D$19</f>
        <v>33.3333333333333</v>
      </c>
      <c r="W7" s="11" t="n">
        <f aca="false">Допущения!$D$35/Допущения!$D$19</f>
        <v>33.3333333333333</v>
      </c>
      <c r="X7" s="11" t="n">
        <f aca="false">Допущения!$D$35/Допущения!$D$19</f>
        <v>33.3333333333333</v>
      </c>
      <c r="Y7" s="11" t="n">
        <f aca="false">Допущения!$D$35/Допущения!$D$19</f>
        <v>33.3333333333333</v>
      </c>
      <c r="Z7" s="8" t="s">
        <v>227</v>
      </c>
    </row>
    <row r="8" customFormat="false" ht="32.8" hidden="false" customHeight="false" outlineLevel="0" collapsed="false">
      <c r="A8" s="17" t="s">
        <v>228</v>
      </c>
      <c r="B8" s="11" t="n">
        <f aca="false">ROUND((B6+B7)*1,0)</f>
        <v>58</v>
      </c>
      <c r="C8" s="11" t="n">
        <f aca="false">ROUND((C6+C7)*MAX(0,1-B5/Допущения!$D$15),0)</f>
        <v>60</v>
      </c>
      <c r="D8" s="11" t="n">
        <f aca="false">ROUND((D6+D7)*MAX(0,1-C5/Допущения!$D$15),0)</f>
        <v>63</v>
      </c>
      <c r="E8" s="11" t="n">
        <f aca="false">ROUND((E6+E7)*MAX(0,1-D5/Допущения!$D$15),0)</f>
        <v>65</v>
      </c>
      <c r="F8" s="11" t="n">
        <f aca="false">ROUND((F6+F7)*MAX(0,1-E5/Допущения!$D$15),0)</f>
        <v>68</v>
      </c>
      <c r="G8" s="11" t="n">
        <f aca="false">ROUND((G6+G7)*MAX(0,1-F5/Допущения!$D$15),0)</f>
        <v>71</v>
      </c>
      <c r="H8" s="11" t="n">
        <f aca="false">ROUND((H6+H7)*MAX(0,1-G5/Допущения!$D$15),0)</f>
        <v>74</v>
      </c>
      <c r="I8" s="11" t="n">
        <f aca="false">ROUND((I6+I7)*MAX(0,1-H5/Допущения!$D$15),0)</f>
        <v>77</v>
      </c>
      <c r="J8" s="11" t="n">
        <f aca="false">ROUND((J6+J7)*MAX(0,1-I5/Допущения!$D$15),0)</f>
        <v>81</v>
      </c>
      <c r="K8" s="11" t="n">
        <f aca="false">ROUND((K6+K7)*MAX(0,1-J5/Допущения!$D$15),0)</f>
        <v>85</v>
      </c>
      <c r="L8" s="11" t="n">
        <f aca="false">ROUND((L6+L7)*MAX(0,1-K5/Допущения!$D$15),0)</f>
        <v>89</v>
      </c>
      <c r="M8" s="11" t="n">
        <f aca="false">ROUND((M6+M7)*MAX(0,1-L5/Допущения!$D$15),0)</f>
        <v>94</v>
      </c>
      <c r="N8" s="11" t="n">
        <f aca="false">ROUND((N6+N7)*MAX(0,1-M5/Допущения!$D$15),0)</f>
        <v>99</v>
      </c>
      <c r="O8" s="11" t="n">
        <f aca="false">ROUND((O6+O7)*MAX(0,1-N5/Допущения!$D$15),0)</f>
        <v>104</v>
      </c>
      <c r="P8" s="11" t="n">
        <f aca="false">ROUND((P6+P7)*MAX(0,1-O5/Допущения!$D$15),0)</f>
        <v>110</v>
      </c>
      <c r="Q8" s="11" t="n">
        <f aca="false">ROUND((Q6+Q7)*MAX(0,1-P5/Допущения!$D$15),0)</f>
        <v>116</v>
      </c>
      <c r="R8" s="11" t="n">
        <f aca="false">ROUND((R6+R7)*MAX(0,1-Q5/Допущения!$D$15),0)</f>
        <v>123</v>
      </c>
      <c r="S8" s="11" t="n">
        <f aca="false">ROUND((S6+S7)*MAX(0,1-R5/Допущения!$D$15),0)</f>
        <v>130</v>
      </c>
      <c r="T8" s="11" t="n">
        <f aca="false">ROUND((T6+T7)*MAX(0,1-S5/Допущения!$D$15),0)</f>
        <v>138</v>
      </c>
      <c r="U8" s="11" t="n">
        <f aca="false">ROUND((U6+U7)*MAX(0,1-T5/Допущения!$D$15),0)</f>
        <v>147</v>
      </c>
      <c r="V8" s="11" t="n">
        <f aca="false">ROUND((V6+V7)*MAX(0,1-U5/Допущения!$D$15),0)</f>
        <v>156</v>
      </c>
      <c r="W8" s="11" t="n">
        <f aca="false">ROUND((W6+W7)*MAX(0,1-V5/Допущения!$D$15),0)</f>
        <v>165</v>
      </c>
      <c r="X8" s="11" t="n">
        <f aca="false">ROUND((X6+X7)*MAX(0,1-W5/Допущения!$D$15),0)</f>
        <v>176</v>
      </c>
      <c r="Y8" s="11" t="n">
        <f aca="false">ROUND((Y6+Y7)*MAX(0,1-X5/Допущения!$D$15),0)</f>
        <v>187</v>
      </c>
      <c r="Z8" s="8" t="s">
        <v>229</v>
      </c>
    </row>
    <row r="9" customFormat="false" ht="15" hidden="false" customHeight="false" outlineLevel="0" collapsed="false">
      <c r="A9" s="17" t="s">
        <v>230</v>
      </c>
      <c r="B9" s="11" t="n">
        <f aca="false">IF(COLUMN()-1-Допущения!$D$21&lt;1,0,IFERROR(ROUND(INDEX($B$8:$Y$8,1,COLUMN()-1-Допущения!$D$21)*Допущения!$D$20,0),0))</f>
        <v>0</v>
      </c>
      <c r="C9" s="11" t="n">
        <f aca="false">IF(COLUMN()-1-Допущения!$D$21&lt;1,0,IFERROR(ROUND(INDEX($B$8:$Y$8,1,COLUMN()-1-Допущения!$D$21)*Допущения!$D$20,0),0))</f>
        <v>0</v>
      </c>
      <c r="D9" s="11" t="n">
        <f aca="false">IF(COLUMN()-1-Допущения!$D$21&lt;1,0,IFERROR(ROUND(INDEX($B$8:$Y$8,1,COLUMN()-1-Допущения!$D$21)*Допущения!$D$20,0),0))</f>
        <v>0</v>
      </c>
      <c r="E9" s="11" t="n">
        <f aca="false">IF(COLUMN()-1-Допущения!$D$21&lt;1,0,IFERROR(ROUND(INDEX($B$8:$Y$8,1,COLUMN()-1-Допущения!$D$21)*Допущения!$D$20,0),0))</f>
        <v>3</v>
      </c>
      <c r="F9" s="11" t="n">
        <f aca="false">IF(COLUMN()-1-Допущения!$D$21&lt;1,0,IFERROR(ROUND(INDEX($B$8:$Y$8,1,COLUMN()-1-Допущения!$D$21)*Допущения!$D$20,0),0))</f>
        <v>3</v>
      </c>
      <c r="G9" s="11" t="n">
        <f aca="false">IF(COLUMN()-1-Допущения!$D$21&lt;1,0,IFERROR(ROUND(INDEX($B$8:$Y$8,1,COLUMN()-1-Допущения!$D$21)*Допущения!$D$20,0),0))</f>
        <v>3</v>
      </c>
      <c r="H9" s="11" t="n">
        <f aca="false">IF(COLUMN()-1-Допущения!$D$21&lt;1,0,IFERROR(ROUND(INDEX($B$8:$Y$8,1,COLUMN()-1-Допущения!$D$21)*Допущения!$D$20,0),0))</f>
        <v>3</v>
      </c>
      <c r="I9" s="11" t="n">
        <f aca="false">IF(COLUMN()-1-Допущения!$D$21&lt;1,0,IFERROR(ROUND(INDEX($B$8:$Y$8,1,COLUMN()-1-Допущения!$D$21)*Допущения!$D$20,0),0))</f>
        <v>3</v>
      </c>
      <c r="J9" s="11" t="n">
        <f aca="false">IF(COLUMN()-1-Допущения!$D$21&lt;1,0,IFERROR(ROUND(INDEX($B$8:$Y$8,1,COLUMN()-1-Допущения!$D$21)*Допущения!$D$20,0),0))</f>
        <v>3</v>
      </c>
      <c r="K9" s="11" t="n">
        <f aca="false">IF(COLUMN()-1-Допущения!$D$21&lt;1,0,IFERROR(ROUND(INDEX($B$8:$Y$8,1,COLUMN()-1-Допущения!$D$21)*Допущения!$D$20,0),0))</f>
        <v>3</v>
      </c>
      <c r="L9" s="11" t="n">
        <f aca="false">IF(COLUMN()-1-Допущения!$D$21&lt;1,0,IFERROR(ROUND(INDEX($B$8:$Y$8,1,COLUMN()-1-Допущения!$D$21)*Допущения!$D$20,0),0))</f>
        <v>3</v>
      </c>
      <c r="M9" s="11" t="n">
        <f aca="false">IF(COLUMN()-1-Допущения!$D$21&lt;1,0,IFERROR(ROUND(INDEX($B$8:$Y$8,1,COLUMN()-1-Допущения!$D$21)*Допущения!$D$20,0),0))</f>
        <v>4</v>
      </c>
      <c r="N9" s="11" t="n">
        <f aca="false">IF(COLUMN()-1-Допущения!$D$21&lt;1,0,IFERROR(ROUND(INDEX($B$8:$Y$8,1,COLUMN()-1-Допущения!$D$21)*Допущения!$D$20,0),0))</f>
        <v>4</v>
      </c>
      <c r="O9" s="11" t="n">
        <f aca="false">IF(COLUMN()-1-Допущения!$D$21&lt;1,0,IFERROR(ROUND(INDEX($B$8:$Y$8,1,COLUMN()-1-Допущения!$D$21)*Допущения!$D$20,0),0))</f>
        <v>4</v>
      </c>
      <c r="P9" s="11" t="n">
        <f aca="false">IF(COLUMN()-1-Допущения!$D$21&lt;1,0,IFERROR(ROUND(INDEX($B$8:$Y$8,1,COLUMN()-1-Допущения!$D$21)*Допущения!$D$20,0),0))</f>
        <v>4</v>
      </c>
      <c r="Q9" s="11" t="n">
        <f aca="false">IF(COLUMN()-1-Допущения!$D$21&lt;1,0,IFERROR(ROUND(INDEX($B$8:$Y$8,1,COLUMN()-1-Допущения!$D$21)*Допущения!$D$20,0),0))</f>
        <v>4</v>
      </c>
      <c r="R9" s="11" t="n">
        <f aca="false">IF(COLUMN()-1-Допущения!$D$21&lt;1,0,IFERROR(ROUND(INDEX($B$8:$Y$8,1,COLUMN()-1-Допущения!$D$21)*Допущения!$D$20,0),0))</f>
        <v>5</v>
      </c>
      <c r="S9" s="11" t="n">
        <f aca="false">IF(COLUMN()-1-Допущения!$D$21&lt;1,0,IFERROR(ROUND(INDEX($B$8:$Y$8,1,COLUMN()-1-Допущения!$D$21)*Допущения!$D$20,0),0))</f>
        <v>5</v>
      </c>
      <c r="T9" s="11" t="n">
        <f aca="false">IF(COLUMN()-1-Допущения!$D$21&lt;1,0,IFERROR(ROUND(INDEX($B$8:$Y$8,1,COLUMN()-1-Допущения!$D$21)*Допущения!$D$20,0),0))</f>
        <v>5</v>
      </c>
      <c r="U9" s="11" t="n">
        <f aca="false">IF(COLUMN()-1-Допущения!$D$21&lt;1,0,IFERROR(ROUND(INDEX($B$8:$Y$8,1,COLUMN()-1-Допущения!$D$21)*Допущения!$D$20,0),0))</f>
        <v>6</v>
      </c>
      <c r="V9" s="11" t="n">
        <f aca="false">IF(COLUMN()-1-Допущения!$D$21&lt;1,0,IFERROR(ROUND(INDEX($B$8:$Y$8,1,COLUMN()-1-Допущения!$D$21)*Допущения!$D$20,0),0))</f>
        <v>6</v>
      </c>
      <c r="W9" s="11" t="n">
        <f aca="false">IF(COLUMN()-1-Допущения!$D$21&lt;1,0,IFERROR(ROUND(INDEX($B$8:$Y$8,1,COLUMN()-1-Допущения!$D$21)*Допущения!$D$20,0),0))</f>
        <v>6</v>
      </c>
      <c r="X9" s="11" t="n">
        <f aca="false">IF(COLUMN()-1-Допущения!$D$21&lt;1,0,IFERROR(ROUND(INDEX($B$8:$Y$8,1,COLUMN()-1-Допущения!$D$21)*Допущения!$D$20,0),0))</f>
        <v>7</v>
      </c>
      <c r="Y9" s="11" t="n">
        <f aca="false">IF(COLUMN()-1-Допущения!$D$21&lt;1,0,IFERROR(ROUND(INDEX($B$8:$Y$8,1,COLUMN()-1-Допущения!$D$21)*Допущения!$D$20,0),0))</f>
        <v>7</v>
      </c>
      <c r="Z9" s="8" t="s">
        <v>231</v>
      </c>
    </row>
    <row r="10" customFormat="false" ht="22.35" hidden="false" customHeight="false" outlineLevel="0" collapsed="false">
      <c r="A10" s="17" t="s">
        <v>232</v>
      </c>
      <c r="B10" s="11" t="n">
        <f aca="false">MIN(Допущения!$D$56+B9,Допущения!$D$15*Допущения!$D$16)</f>
        <v>0</v>
      </c>
      <c r="C10" s="11" t="n">
        <f aca="false">MIN(B10*(1-Допущения!$D$12*(1-Допущения!$D$10*1/24))+C9,Допущения!$D$15*Допущения!$D$16)</f>
        <v>0</v>
      </c>
      <c r="D10" s="11" t="n">
        <f aca="false">MIN(C10*(1-Допущения!$D$12*(1-Допущения!$D$10*2/24))+D9,Допущения!$D$15*Допущения!$D$16)</f>
        <v>0</v>
      </c>
      <c r="E10" s="11" t="n">
        <f aca="false">MIN(D10*(1-Допущения!$D$12*(1-Допущения!$D$10*3/24))+E9,Допущения!$D$15*Допущения!$D$16)</f>
        <v>3</v>
      </c>
      <c r="F10" s="11" t="n">
        <f aca="false">MIN(E10*(1-Допущения!$D$12*(1-Допущения!$D$10*4/24))+F9,Допущения!$D$15*Допущения!$D$16)</f>
        <v>5.7569</v>
      </c>
      <c r="G10" s="11" t="n">
        <f aca="false">MIN(F10*(1-Допущения!$D$12*(1-Допущения!$D$10*5/24))+G9,Допущения!$D$15*Допущения!$D$16)</f>
        <v>8.29610812916667</v>
      </c>
      <c r="H10" s="11" t="n">
        <f aca="false">MIN(G10*(1-Допущения!$D$12*(1-Допущения!$D$10*6/24))+H9,Допущения!$D$15*Допущения!$D$16)</f>
        <v>10.640300781556</v>
      </c>
      <c r="I10" s="11" t="n">
        <f aca="false">MIN(H10*(1-Допущения!$D$12*(1-Допущения!$D$10*7/24))+I9,Допущения!$D$15*Допущения!$D$16)</f>
        <v>12.8097366363824</v>
      </c>
      <c r="J10" s="11" t="n">
        <f aca="false">MIN(I10*(1-Допущения!$D$12*(1-Допущения!$D$10*8/24))+J9,Допущения!$D$15*Допущения!$D$16)</f>
        <v>14.8225329329385</v>
      </c>
      <c r="K10" s="11" t="n">
        <f aca="false">MIN(J10*(1-Допущения!$D$12*(1-Допущения!$D$10*9/24))+K9,Допущения!$D$15*Допущения!$D$16)</f>
        <v>16.6949087400652</v>
      </c>
      <c r="L10" s="11" t="n">
        <f aca="false">MIN(K10*(1-Допущения!$D$12*(1-Допущения!$D$10*10/24))+L9,Допущения!$D$15*Допущения!$D$16)</f>
        <v>18.4413993421653</v>
      </c>
      <c r="M10" s="11" t="n">
        <f aca="false">MIN(L10*(1-Допущения!$D$12*(1-Допущения!$D$10*11/24))+M9,Допущения!$D$15*Допущения!$D$16)</f>
        <v>21.0750453292387</v>
      </c>
      <c r="N10" s="11" t="n">
        <f aca="false">MIN(M10*(1-Допущения!$D$12*(1-Допущения!$D$10*12/24))+N9,Допущения!$D$15*Допущения!$D$16)</f>
        <v>23.5344595156714</v>
      </c>
      <c r="O10" s="11" t="n">
        <f aca="false">MIN(N10*(1-Допущения!$D$12*(1-Допущения!$D$10*13/24))+O9,Допущения!$D$15*Допущения!$D$16)</f>
        <v>25.8374288640955</v>
      </c>
      <c r="P10" s="11" t="n">
        <f aca="false">MIN(O10*(1-Допущения!$D$12*(1-Допущения!$D$10*14/24))+P9,Допущения!$D$15*Допущения!$D$16)</f>
        <v>27.9999570480439</v>
      </c>
      <c r="Q10" s="11" t="n">
        <f aca="false">MIN(P10*(1-Допущения!$D$12*(1-Допущения!$D$10*15/24))+Q9,Допущения!$D$15*Допущения!$D$16)</f>
        <v>30.0364600600499</v>
      </c>
      <c r="R10" s="11" t="n">
        <f aca="false">MIN(Q10*(1-Допущения!$D$12*(1-Допущения!$D$10*16/24))+R9,Допущения!$D$15*Допущения!$D$16)</f>
        <v>32.9599394545651</v>
      </c>
      <c r="S10" s="11" t="n">
        <f aca="false">MIN(R10*(1-Допущения!$D$12*(1-Допущения!$D$10*17/24))+S9,Допущения!$D$15*Допущения!$D$16)</f>
        <v>35.7139942468986</v>
      </c>
      <c r="T10" s="11" t="n">
        <f aca="false">MIN(S10*(1-Допущения!$D$12*(1-Допущения!$D$10*18/24))+T9,Допущения!$D$15*Допущения!$D$16)</f>
        <v>38.3157995332194</v>
      </c>
      <c r="U10" s="11" t="n">
        <f aca="false">MIN(T10*(1-Допущения!$D$12*(1-Допущения!$D$10*19/24))+U9,Допущения!$D$15*Допущения!$D$16)</f>
        <v>41.7808900957675</v>
      </c>
      <c r="V10" s="11" t="n">
        <f aca="false">MIN(U10*(1-Допущения!$D$12*(1-Допущения!$D$10*20/24))+V9,Допущения!$D$15*Допущения!$D$16)</f>
        <v>45.0581687578599</v>
      </c>
      <c r="W10" s="11" t="n">
        <f aca="false">MIN(V10*(1-Допущения!$D$12*(1-Допущения!$D$10*21/24))+W9,Допущения!$D$15*Допущения!$D$16)</f>
        <v>48.1665607778243</v>
      </c>
      <c r="X10" s="11" t="n">
        <f aca="false">MIN(W10*(1-Допущения!$D$12*(1-Допущения!$D$10*22/24))+X9,Допущения!$D$15*Допущения!$D$16)</f>
        <v>52.1232369126787</v>
      </c>
      <c r="Y10" s="11" t="n">
        <f aca="false">MIN(X10*(1-Допущения!$D$12*(1-Допущения!$D$10*23/24))+Y9,Допущения!$D$15*Допущения!$D$16)</f>
        <v>55.8816059370177</v>
      </c>
      <c r="Z10" s="8" t="s">
        <v>233</v>
      </c>
    </row>
    <row r="11" customFormat="false" ht="15" hidden="false" customHeight="false" outlineLevel="0" collapsed="false">
      <c r="A11" s="3" t="s">
        <v>234</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7" t="s">
        <v>235</v>
      </c>
      <c r="B12" s="7" t="n">
        <f aca="false">B10*(Допущения!$D$8*(1-Допущения!$D$10*0/24)+Допущения!$D$9/12*Допущения!$D$10*0/24)</f>
        <v>0</v>
      </c>
      <c r="C12" s="7" t="n">
        <f aca="false">C10*(Допущения!$D$8*(1-Допущения!$D$10*1/24)+Допущения!$D$9/12*Допущения!$D$10*1/24)</f>
        <v>0</v>
      </c>
      <c r="D12" s="7" t="n">
        <f aca="false">D10*(Допущения!$D$8*(1-Допущения!$D$10*2/24)+Допущения!$D$9/12*Допущения!$D$10*2/24)</f>
        <v>0</v>
      </c>
      <c r="E12" s="7" t="n">
        <f aca="false">E10*(Допущения!$D$8*(1-Допущения!$D$10*3/24)+Допущения!$D$9/12*Допущения!$D$10*3/24)</f>
        <v>4443.925</v>
      </c>
      <c r="F12" s="7" t="n">
        <f aca="false">F10*(Допущения!$D$8*(1-Допущения!$D$10*4/24)+Допущения!$D$9/12*Допущения!$D$10*4/24)</f>
        <v>8511.06492555556</v>
      </c>
      <c r="G12" s="7" t="n">
        <f aca="false">G10*(Допущения!$D$8*(1-Допущения!$D$10*5/24)+Допущения!$D$9/12*Допущения!$D$10*5/24)</f>
        <v>12241.0227683094</v>
      </c>
      <c r="H12" s="7" t="n">
        <f aca="false">H10*(Допущения!$D$8*(1-Допущения!$D$10*6/24)+Допущения!$D$9/12*Допущения!$D$10*6/24)</f>
        <v>15669.0842692658</v>
      </c>
      <c r="I12" s="7" t="n">
        <f aca="false">I10*(Допущения!$D$8*(1-Допущения!$D$10*7/24)+Допущения!$D$9/12*Допущения!$D$10*7/24)</f>
        <v>18826.7190127036</v>
      </c>
      <c r="J12" s="7" t="n">
        <f aca="false">J10*(Допущения!$D$8*(1-Допущения!$D$10*8/24)+Допущения!$D$9/12*Допущения!$D$10*8/24)</f>
        <v>21742.020695655</v>
      </c>
      <c r="K12" s="7" t="n">
        <f aca="false">K10*(Допущения!$D$8*(1-Допущения!$D$10*9/24)+Допущения!$D$9/12*Допущения!$D$10*9/24)</f>
        <v>24440.0942773</v>
      </c>
      <c r="L12" s="7" t="n">
        <f aca="false">L10*(Допущения!$D$8*(1-Допущения!$D$10*10/24)+Допущения!$D$9/12*Допущения!$D$10*10/24)</f>
        <v>26943.3966999964</v>
      </c>
      <c r="M12" s="7" t="n">
        <f aca="false">M10*(Допущения!$D$8*(1-Допущения!$D$10*11/24)+Допущения!$D$9/12*Допущения!$D$10*11/24)</f>
        <v>30730.1675542814</v>
      </c>
      <c r="N12" s="7" t="n">
        <f aca="false">N10*(Допущения!$D$8*(1-Допущения!$D$10*12/24)+Допущения!$D$9/12*Допущения!$D$10*12/24)</f>
        <v>34248.1299691889</v>
      </c>
      <c r="O12" s="7" t="n">
        <f aca="false">O10*(Допущения!$D$8*(1-Допущения!$D$10*13/24)+Допущения!$D$9/12*Допущения!$D$10*13/24)</f>
        <v>37524.6309575905</v>
      </c>
      <c r="P12" s="7" t="n">
        <f aca="false">P10*(Допущения!$D$8*(1-Допущения!$D$10*14/24)+Допущения!$D$9/12*Допущения!$D$10*14/24)</f>
        <v>40584.2266326534</v>
      </c>
      <c r="Q12" s="7" t="n">
        <f aca="false">Q10*(Допущения!$D$8*(1-Допущения!$D$10*15/24)+Допущения!$D$9/12*Допущения!$D$10*15/24)</f>
        <v>43448.9909960313</v>
      </c>
      <c r="R12" s="7" t="n">
        <f aca="false">R10*(Допущения!$D$8*(1-Допущения!$D$10*16/24)+Допущения!$D$9/12*Допущения!$D$10*16/24)</f>
        <v>47582.4334828081</v>
      </c>
      <c r="S12" s="7" t="n">
        <f aca="false">S10*(Допущения!$D$8*(1-Допущения!$D$10*17/24)+Допущения!$D$9/12*Допущения!$D$10*17/24)</f>
        <v>51454.8380056796</v>
      </c>
      <c r="T12" s="7" t="n">
        <f aca="false">T10*(Допущения!$D$8*(1-Допущения!$D$10*18/24)+Допущения!$D$9/12*Допущения!$D$10*18/24)</f>
        <v>55092.3723588394</v>
      </c>
      <c r="U12" s="7" t="n">
        <f aca="false">U10*(Допущения!$D$8*(1-Допущения!$D$10*19/24)+Допущения!$D$9/12*Допущения!$D$10*19/24)</f>
        <v>59953.6043009495</v>
      </c>
      <c r="V12" s="7" t="n">
        <f aca="false">V10*(Допущения!$D$8*(1-Допущения!$D$10*20/24)+Допущения!$D$9/12*Допущения!$D$10*20/24)</f>
        <v>64525.8008928531</v>
      </c>
      <c r="W12" s="7" t="n">
        <f aca="false">W10*(Допущения!$D$8*(1-Допущения!$D$10*21/24)+Допущения!$D$9/12*Допущения!$D$10*21/24)</f>
        <v>68837.6417236341</v>
      </c>
      <c r="X12" s="7" t="n">
        <f aca="false">X10*(Допущения!$D$8*(1-Допущения!$D$10*22/24)+Допущения!$D$9/12*Допущения!$D$10*22/24)</f>
        <v>74341.3457937849</v>
      </c>
      <c r="Y12" s="7" t="n">
        <f aca="false">Y10*(Допущения!$D$8*(1-Допущения!$D$10*23/24)+Допущения!$D$9/12*Допущения!$D$10*23/24)</f>
        <v>79539.85994387</v>
      </c>
      <c r="Z12" s="8" t="s">
        <v>236</v>
      </c>
    </row>
    <row r="13" customFormat="false" ht="15" hidden="false" customHeight="false" outlineLevel="0" collapsed="false">
      <c r="A13" s="17" t="s">
        <v>237</v>
      </c>
      <c r="B13" s="7" t="n">
        <f aca="false">B9*Допущения!$D$10*0/24*Допущения!$D$9</f>
        <v>0</v>
      </c>
      <c r="C13" s="7" t="n">
        <f aca="false">C9*Допущения!$D$10*1/24*Допущения!$D$9</f>
        <v>0</v>
      </c>
      <c r="D13" s="7" t="n">
        <f aca="false">D9*Допущения!$D$10*2/24*Допущения!$D$9</f>
        <v>0</v>
      </c>
      <c r="E13" s="7" t="n">
        <f aca="false">E9*Допущения!$D$10*3/24*Допущения!$D$9</f>
        <v>1564.5</v>
      </c>
      <c r="F13" s="7" t="n">
        <f aca="false">F9*Допущения!$D$10*4/24*Допущения!$D$9</f>
        <v>2086</v>
      </c>
      <c r="G13" s="7" t="n">
        <f aca="false">G9*Допущения!$D$10*5/24*Допущения!$D$9</f>
        <v>2607.5</v>
      </c>
      <c r="H13" s="7" t="n">
        <f aca="false">H9*Допущения!$D$10*6/24*Допущения!$D$9</f>
        <v>3129</v>
      </c>
      <c r="I13" s="7" t="n">
        <f aca="false">I9*Допущения!$D$10*7/24*Допущения!$D$9</f>
        <v>3650.5</v>
      </c>
      <c r="J13" s="7" t="n">
        <f aca="false">J9*Допущения!$D$10*8/24*Допущения!$D$9</f>
        <v>4172</v>
      </c>
      <c r="K13" s="7" t="n">
        <f aca="false">K9*Допущения!$D$10*9/24*Допущения!$D$9</f>
        <v>4693.5</v>
      </c>
      <c r="L13" s="7" t="n">
        <f aca="false">L9*Допущения!$D$10*10/24*Допущения!$D$9</f>
        <v>5215</v>
      </c>
      <c r="M13" s="7" t="n">
        <f aca="false">M9*Допущения!$D$10*11/24*Допущения!$D$9</f>
        <v>7648.66666666667</v>
      </c>
      <c r="N13" s="7" t="n">
        <f aca="false">N9*Допущения!$D$10*12/24*Допущения!$D$9</f>
        <v>8344</v>
      </c>
      <c r="O13" s="7" t="n">
        <f aca="false">O9*Допущения!$D$10*13/24*Допущения!$D$9</f>
        <v>9039.33333333334</v>
      </c>
      <c r="P13" s="7" t="n">
        <f aca="false">P9*Допущения!$D$10*14/24*Допущения!$D$9</f>
        <v>9734.66666666667</v>
      </c>
      <c r="Q13" s="7" t="n">
        <f aca="false">Q9*Допущения!$D$10*15/24*Допущения!$D$9</f>
        <v>10430</v>
      </c>
      <c r="R13" s="7" t="n">
        <f aca="false">R9*Допущения!$D$10*16/24*Допущения!$D$9</f>
        <v>13906.6666666667</v>
      </c>
      <c r="S13" s="7" t="n">
        <f aca="false">S9*Допущения!$D$10*17/24*Допущения!$D$9</f>
        <v>14775.8333333333</v>
      </c>
      <c r="T13" s="7" t="n">
        <f aca="false">T9*Допущения!$D$10*18/24*Допущения!$D$9</f>
        <v>15645</v>
      </c>
      <c r="U13" s="7" t="n">
        <f aca="false">U9*Допущения!$D$10*19/24*Допущения!$D$9</f>
        <v>19817</v>
      </c>
      <c r="V13" s="7" t="n">
        <f aca="false">V9*Допущения!$D$10*20/24*Допущения!$D$9</f>
        <v>20860</v>
      </c>
      <c r="W13" s="7" t="n">
        <f aca="false">W9*Допущения!$D$10*21/24*Допущения!$D$9</f>
        <v>21903</v>
      </c>
      <c r="X13" s="7" t="n">
        <f aca="false">X9*Допущения!$D$10*22/24*Допущения!$D$9</f>
        <v>26770.3333333333</v>
      </c>
      <c r="Y13" s="7" t="n">
        <f aca="false">Y9*Допущения!$D$10*23/24*Допущения!$D$9</f>
        <v>27987.1666666667</v>
      </c>
      <c r="Z13" s="8" t="s">
        <v>238</v>
      </c>
    </row>
    <row r="14" customFormat="false" ht="15" hidden="false" customHeight="false" outlineLevel="0" collapsed="false">
      <c r="A14" s="17" t="s">
        <v>239</v>
      </c>
      <c r="B14" s="7" t="n">
        <f aca="false">B12+B13-B9*Допущения!$D$10*0/24*Допущения!$D$9/12</f>
        <v>0</v>
      </c>
      <c r="C14" s="7" t="n">
        <f aca="false">C12+C13-C9*Допущения!$D$10*1/24*Допущения!$D$9/12</f>
        <v>0</v>
      </c>
      <c r="D14" s="7" t="n">
        <f aca="false">D12+D13-D9*Допущения!$D$10*2/24*Допущения!$D$9/12</f>
        <v>0</v>
      </c>
      <c r="E14" s="7" t="n">
        <f aca="false">E12+E13-E9*Допущения!$D$10*3/24*Допущения!$D$9/12</f>
        <v>5878.05</v>
      </c>
      <c r="F14" s="7" t="n">
        <f aca="false">F12+F13-F9*Допущения!$D$10*4/24*Допущения!$D$9/12</f>
        <v>10423.2315922222</v>
      </c>
      <c r="G14" s="7" t="n">
        <f aca="false">G12+G13-G9*Допущения!$D$10*5/24*Допущения!$D$9/12</f>
        <v>14631.2311016428</v>
      </c>
      <c r="H14" s="7" t="n">
        <f aca="false">H12+H13-H9*Допущения!$D$10*6/24*Допущения!$D$9/12</f>
        <v>18537.3342692658</v>
      </c>
      <c r="I14" s="7" t="n">
        <f aca="false">I12+I13-I9*Допущения!$D$10*7/24*Допущения!$D$9/12</f>
        <v>22173.0106793703</v>
      </c>
      <c r="J14" s="7" t="n">
        <f aca="false">J12+J13-J9*Допущения!$D$10*8/24*Допущения!$D$9/12</f>
        <v>25566.3540289883</v>
      </c>
      <c r="K14" s="7" t="n">
        <f aca="false">K12+K13-K9*Допущения!$D$10*9/24*Допущения!$D$9/12</f>
        <v>28742.4692773</v>
      </c>
      <c r="L14" s="7" t="n">
        <f aca="false">L12+L13-L9*Допущения!$D$10*10/24*Допущения!$D$9/12</f>
        <v>31723.8133666631</v>
      </c>
      <c r="M14" s="7" t="n">
        <f aca="false">M12+M13-M9*Допущения!$D$10*11/24*Допущения!$D$9/12</f>
        <v>37741.4453320592</v>
      </c>
      <c r="N14" s="7" t="n">
        <f aca="false">N12+N13-N9*Допущения!$D$10*12/24*Допущения!$D$9/12</f>
        <v>41896.7966358555</v>
      </c>
      <c r="O14" s="7" t="n">
        <f aca="false">O12+O13-O9*Допущения!$D$10*13/24*Допущения!$D$9/12</f>
        <v>45810.686513146</v>
      </c>
      <c r="P14" s="7" t="n">
        <f aca="false">P12+P13-P9*Допущения!$D$10*14/24*Допущения!$D$9/12</f>
        <v>49507.6710770979</v>
      </c>
      <c r="Q14" s="7" t="n">
        <f aca="false">Q12+Q13-Q9*Допущения!$D$10*15/24*Допущения!$D$9/12</f>
        <v>53009.8243293646</v>
      </c>
      <c r="R14" s="7" t="n">
        <f aca="false">R12+R13-R9*Допущения!$D$10*16/24*Допущения!$D$9/12</f>
        <v>60330.2112605859</v>
      </c>
      <c r="S14" s="7" t="n">
        <f aca="false">S12+S13-S9*Допущения!$D$10*17/24*Допущения!$D$9/12</f>
        <v>64999.3518945685</v>
      </c>
      <c r="T14" s="7" t="n">
        <f aca="false">T12+T13-T9*Допущения!$D$10*18/24*Допущения!$D$9/12</f>
        <v>69433.6223588394</v>
      </c>
      <c r="U14" s="7" t="n">
        <f aca="false">U12+U13-U9*Допущения!$D$10*19/24*Допущения!$D$9/12</f>
        <v>78119.1876342829</v>
      </c>
      <c r="V14" s="7" t="n">
        <f aca="false">V12+V13-V9*Допущения!$D$10*20/24*Допущения!$D$9/12</f>
        <v>83647.4675595198</v>
      </c>
      <c r="W14" s="7" t="n">
        <f aca="false">W12+W13-W9*Допущения!$D$10*21/24*Допущения!$D$9/12</f>
        <v>88915.3917236341</v>
      </c>
      <c r="X14" s="7" t="n">
        <f aca="false">X12+X13-X9*Допущения!$D$10*22/24*Допущения!$D$9/12</f>
        <v>98880.8180160071</v>
      </c>
      <c r="Y14" s="7" t="n">
        <f aca="false">Y12+Y13-Y9*Допущения!$D$10*23/24*Допущения!$D$9/12</f>
        <v>105194.762721648</v>
      </c>
      <c r="Z14" s="8" t="s">
        <v>240</v>
      </c>
    </row>
    <row r="15" customFormat="false" ht="15" hidden="false" customHeight="false" outlineLevel="0" collapsed="false">
      <c r="A15" s="3" t="s">
        <v>241</v>
      </c>
      <c r="B15" s="4"/>
      <c r="C15" s="4"/>
      <c r="D15" s="4"/>
      <c r="E15" s="4"/>
      <c r="F15" s="4"/>
      <c r="G15" s="4"/>
      <c r="H15" s="4"/>
      <c r="I15" s="4"/>
      <c r="J15" s="4"/>
      <c r="K15" s="4"/>
      <c r="L15" s="4"/>
      <c r="M15" s="4"/>
      <c r="N15" s="4"/>
      <c r="O15" s="4"/>
      <c r="P15" s="4"/>
      <c r="Q15" s="4"/>
      <c r="R15" s="4"/>
      <c r="S15" s="4"/>
      <c r="T15" s="4"/>
      <c r="U15" s="4"/>
      <c r="V15" s="4"/>
      <c r="W15" s="4"/>
      <c r="X15" s="4"/>
      <c r="Y15" s="4"/>
    </row>
    <row r="16" customFormat="false" ht="15" hidden="false" customHeight="false" outlineLevel="0" collapsed="false">
      <c r="A16" s="17" t="s">
        <v>129</v>
      </c>
      <c r="B16" s="7" t="n">
        <f aca="false">Допущения!$D$23</f>
        <v>5300</v>
      </c>
      <c r="C16" s="7" t="n">
        <f aca="false">Допущения!$D$23</f>
        <v>5300</v>
      </c>
      <c r="D16" s="7" t="n">
        <f aca="false">Допущения!$D$23</f>
        <v>5300</v>
      </c>
      <c r="E16" s="7" t="n">
        <f aca="false">Допущения!$D$23</f>
        <v>5300</v>
      </c>
      <c r="F16" s="7" t="n">
        <f aca="false">Допущения!$D$23</f>
        <v>5300</v>
      </c>
      <c r="G16" s="7" t="n">
        <f aca="false">Допущения!$D$23</f>
        <v>5300</v>
      </c>
      <c r="H16" s="7" t="n">
        <f aca="false">Допущения!$D$23</f>
        <v>5300</v>
      </c>
      <c r="I16" s="7" t="n">
        <f aca="false">Допущения!$D$23</f>
        <v>5300</v>
      </c>
      <c r="J16" s="7" t="n">
        <f aca="false">Допущения!$D$23</f>
        <v>5300</v>
      </c>
      <c r="K16" s="7" t="n">
        <f aca="false">Допущения!$D$23</f>
        <v>5300</v>
      </c>
      <c r="L16" s="7" t="n">
        <f aca="false">Допущения!$D$23</f>
        <v>5300</v>
      </c>
      <c r="M16" s="7" t="n">
        <f aca="false">Допущения!$D$23</f>
        <v>5300</v>
      </c>
      <c r="N16" s="7" t="n">
        <f aca="false">Допущения!$D$23</f>
        <v>5300</v>
      </c>
      <c r="O16" s="7" t="n">
        <f aca="false">Допущения!$D$23</f>
        <v>5300</v>
      </c>
      <c r="P16" s="7" t="n">
        <f aca="false">Допущения!$D$23</f>
        <v>5300</v>
      </c>
      <c r="Q16" s="7" t="n">
        <f aca="false">Допущения!$D$23</f>
        <v>5300</v>
      </c>
      <c r="R16" s="7" t="n">
        <f aca="false">Допущения!$D$23</f>
        <v>5300</v>
      </c>
      <c r="S16" s="7" t="n">
        <f aca="false">Допущения!$D$23</f>
        <v>5300</v>
      </c>
      <c r="T16" s="7" t="n">
        <f aca="false">Допущения!$D$23</f>
        <v>5300</v>
      </c>
      <c r="U16" s="7" t="n">
        <f aca="false">Допущения!$D$23</f>
        <v>5300</v>
      </c>
      <c r="V16" s="7" t="n">
        <f aca="false">Допущения!$D$23</f>
        <v>5300</v>
      </c>
      <c r="W16" s="7" t="n">
        <f aca="false">Допущения!$D$23</f>
        <v>5300</v>
      </c>
      <c r="X16" s="7" t="n">
        <f aca="false">Допущения!$D$23</f>
        <v>5300</v>
      </c>
      <c r="Y16" s="7" t="n">
        <f aca="false">Допущения!$D$23</f>
        <v>5300</v>
      </c>
    </row>
    <row r="17" customFormat="false" ht="32.8" hidden="false" customHeight="false" outlineLevel="0" collapsed="false">
      <c r="A17" s="17" t="s">
        <v>242</v>
      </c>
      <c r="B17" s="7" t="n">
        <f aca="false">Допущения!$D$24+B10*Допущения!$D$28*Допущения!$D$29</f>
        <v>7000</v>
      </c>
      <c r="C17" s="7" t="n">
        <f aca="false">Допущения!$D$24+C10*Допущения!$D$28*Допущения!$D$29</f>
        <v>7000</v>
      </c>
      <c r="D17" s="7" t="n">
        <f aca="false">Допущения!$D$24+D10*Допущения!$D$28*Допущения!$D$29</f>
        <v>7000</v>
      </c>
      <c r="E17" s="7" t="n">
        <f aca="false">Допущения!$D$24+E10*Допущения!$D$28*Допущения!$D$29</f>
        <v>7085.5</v>
      </c>
      <c r="F17" s="7" t="n">
        <f aca="false">Допущения!$D$24+F10*Допущения!$D$28*Допущения!$D$29</f>
        <v>7164.07165</v>
      </c>
      <c r="G17" s="7" t="n">
        <f aca="false">Допущения!$D$24+G10*Допущения!$D$28*Допущения!$D$29</f>
        <v>7236.43908168125</v>
      </c>
      <c r="H17" s="7" t="n">
        <f aca="false">Допущения!$D$24+H10*Допущения!$D$28*Допущения!$D$29</f>
        <v>7303.24857227435</v>
      </c>
      <c r="I17" s="7" t="n">
        <f aca="false">Допущения!$D$24+I10*Допущения!$D$28*Допущения!$D$29</f>
        <v>7365.0774941369</v>
      </c>
      <c r="J17" s="7" t="n">
        <f aca="false">Допущения!$D$24+J10*Допущения!$D$28*Допущения!$D$29</f>
        <v>7422.44218858875</v>
      </c>
      <c r="K17" s="7" t="n">
        <f aca="false">Допущения!$D$24+K10*Допущения!$D$28*Допущения!$D$29</f>
        <v>7475.80489909186</v>
      </c>
      <c r="L17" s="7" t="n">
        <f aca="false">Допущения!$D$24+L10*Допущения!$D$28*Допущения!$D$29</f>
        <v>7525.57988125171</v>
      </c>
      <c r="M17" s="7" t="n">
        <f aca="false">Допущения!$D$24+M10*Допущения!$D$28*Допущения!$D$29</f>
        <v>7600.6387918833</v>
      </c>
      <c r="N17" s="7" t="n">
        <f aca="false">Допущения!$D$24+N10*Допущения!$D$28*Допущения!$D$29</f>
        <v>7670.73209619663</v>
      </c>
      <c r="O17" s="7" t="n">
        <f aca="false">Допущения!$D$24+O10*Допущения!$D$28*Допущения!$D$29</f>
        <v>7736.36672262672</v>
      </c>
      <c r="P17" s="7" t="n">
        <f aca="false">Допущения!$D$24+P10*Допущения!$D$28*Допущения!$D$29</f>
        <v>7797.99877586925</v>
      </c>
      <c r="Q17" s="7" t="n">
        <f aca="false">Допущения!$D$24+Q10*Допущения!$D$28*Допущения!$D$29</f>
        <v>7856.03911171142</v>
      </c>
      <c r="R17" s="7" t="n">
        <f aca="false">Допущения!$D$24+R10*Допущения!$D$28*Допущения!$D$29</f>
        <v>7939.35827445511</v>
      </c>
      <c r="S17" s="7" t="n">
        <f aca="false">Допущения!$D$24+S10*Допущения!$D$28*Допущения!$D$29</f>
        <v>8017.84883603661</v>
      </c>
      <c r="T17" s="7" t="n">
        <f aca="false">Допущения!$D$24+T10*Допущения!$D$28*Допущения!$D$29</f>
        <v>8092.00028669675</v>
      </c>
      <c r="U17" s="7" t="n">
        <f aca="false">Допущения!$D$24+U10*Допущения!$D$28*Допущения!$D$29</f>
        <v>8190.75536772937</v>
      </c>
      <c r="V17" s="7" t="n">
        <f aca="false">Допущения!$D$24+V10*Допущения!$D$28*Допущения!$D$29</f>
        <v>8284.15780959901</v>
      </c>
      <c r="W17" s="7" t="n">
        <f aca="false">Допущения!$D$24+W10*Допущения!$D$28*Допущения!$D$29</f>
        <v>8372.74698216799</v>
      </c>
      <c r="X17" s="7" t="n">
        <f aca="false">Допущения!$D$24+X10*Допущения!$D$28*Допущения!$D$29</f>
        <v>8485.51225201134</v>
      </c>
      <c r="Y17" s="7" t="n">
        <f aca="false">Допущения!$D$24+Y10*Допущения!$D$28*Допущения!$D$29</f>
        <v>8592.62576920501</v>
      </c>
      <c r="Z17" s="8" t="s">
        <v>243</v>
      </c>
    </row>
    <row r="18" customFormat="false" ht="15" hidden="false" customHeight="false" outlineLevel="0" collapsed="false">
      <c r="A18" s="17" t="s">
        <v>133</v>
      </c>
      <c r="B18" s="7" t="n">
        <f aca="false">Допущения!$D$25</f>
        <v>20000</v>
      </c>
      <c r="C18" s="7" t="n">
        <f aca="false">Допущения!$D$25</f>
        <v>20000</v>
      </c>
      <c r="D18" s="7" t="n">
        <f aca="false">Допущения!$D$25</f>
        <v>20000</v>
      </c>
      <c r="E18" s="7" t="n">
        <f aca="false">Допущения!$D$25</f>
        <v>20000</v>
      </c>
      <c r="F18" s="7" t="n">
        <f aca="false">Допущения!$D$25</f>
        <v>20000</v>
      </c>
      <c r="G18" s="7" t="n">
        <f aca="false">Допущения!$D$25</f>
        <v>20000</v>
      </c>
      <c r="H18" s="7" t="n">
        <f aca="false">Допущения!$D$25</f>
        <v>20000</v>
      </c>
      <c r="I18" s="7" t="n">
        <f aca="false">Допущения!$D$25</f>
        <v>20000</v>
      </c>
      <c r="J18" s="7" t="n">
        <f aca="false">Допущения!$D$25</f>
        <v>20000</v>
      </c>
      <c r="K18" s="7" t="n">
        <f aca="false">Допущения!$D$25</f>
        <v>20000</v>
      </c>
      <c r="L18" s="7" t="n">
        <f aca="false">Допущения!$D$25</f>
        <v>20000</v>
      </c>
      <c r="M18" s="7" t="n">
        <f aca="false">Допущения!$D$25</f>
        <v>20000</v>
      </c>
      <c r="N18" s="7" t="n">
        <f aca="false">Допущения!$D$25</f>
        <v>20000</v>
      </c>
      <c r="O18" s="7" t="n">
        <f aca="false">Допущения!$D$25</f>
        <v>20000</v>
      </c>
      <c r="P18" s="7" t="n">
        <f aca="false">Допущения!$D$25</f>
        <v>20000</v>
      </c>
      <c r="Q18" s="7" t="n">
        <f aca="false">Допущения!$D$25</f>
        <v>20000</v>
      </c>
      <c r="R18" s="7" t="n">
        <f aca="false">Допущения!$D$25</f>
        <v>20000</v>
      </c>
      <c r="S18" s="7" t="n">
        <f aca="false">Допущения!$D$25</f>
        <v>20000</v>
      </c>
      <c r="T18" s="7" t="n">
        <f aca="false">Допущения!$D$25</f>
        <v>20000</v>
      </c>
      <c r="U18" s="7" t="n">
        <f aca="false">Допущения!$D$25</f>
        <v>20000</v>
      </c>
      <c r="V18" s="7" t="n">
        <f aca="false">Допущения!$D$25</f>
        <v>20000</v>
      </c>
      <c r="W18" s="7" t="n">
        <f aca="false">Допущения!$D$25</f>
        <v>20000</v>
      </c>
      <c r="X18" s="7" t="n">
        <f aca="false">Допущения!$D$25</f>
        <v>20000</v>
      </c>
      <c r="Y18" s="7" t="n">
        <f aca="false">Допущения!$D$25</f>
        <v>20000</v>
      </c>
    </row>
    <row r="19" customFormat="false" ht="15" hidden="false" customHeight="false" outlineLevel="0" collapsed="false">
      <c r="A19" s="17" t="s">
        <v>244</v>
      </c>
      <c r="B19" s="7" t="n">
        <f aca="false">Допущения!$D$31</f>
        <v>8000</v>
      </c>
      <c r="C19" s="7" t="n">
        <f aca="false">Допущения!$D$31</f>
        <v>8000</v>
      </c>
      <c r="D19" s="7" t="n">
        <f aca="false">Допущения!$D$31</f>
        <v>8000</v>
      </c>
      <c r="E19" s="7" t="n">
        <f aca="false">Допущения!$D$31</f>
        <v>8000</v>
      </c>
      <c r="F19" s="7" t="n">
        <f aca="false">Допущения!$D$31</f>
        <v>8000</v>
      </c>
      <c r="G19" s="7" t="n">
        <f aca="false">Допущения!$D$31</f>
        <v>8000</v>
      </c>
      <c r="H19" s="7" t="n">
        <f aca="false">Допущения!$D$31</f>
        <v>8000</v>
      </c>
      <c r="I19" s="7" t="n">
        <f aca="false">Допущения!$D$31</f>
        <v>8000</v>
      </c>
      <c r="J19" s="7" t="n">
        <f aca="false">Допущения!$D$31</f>
        <v>8000</v>
      </c>
      <c r="K19" s="7" t="n">
        <f aca="false">Допущения!$D$31</f>
        <v>8000</v>
      </c>
      <c r="L19" s="7" t="n">
        <f aca="false">Допущения!$D$31</f>
        <v>8000</v>
      </c>
      <c r="M19" s="7" t="n">
        <f aca="false">Допущения!$D$31</f>
        <v>8000</v>
      </c>
      <c r="N19" s="7" t="n">
        <f aca="false">Допущения!$D$31</f>
        <v>8000</v>
      </c>
      <c r="O19" s="7" t="n">
        <f aca="false">Допущения!$D$31</f>
        <v>8000</v>
      </c>
      <c r="P19" s="7" t="n">
        <f aca="false">Допущения!$D$31</f>
        <v>8000</v>
      </c>
      <c r="Q19" s="7" t="n">
        <f aca="false">Допущения!$D$31</f>
        <v>8000</v>
      </c>
      <c r="R19" s="7" t="n">
        <f aca="false">Допущения!$D$31</f>
        <v>8000</v>
      </c>
      <c r="S19" s="7" t="n">
        <f aca="false">Допущения!$D$31</f>
        <v>8000</v>
      </c>
      <c r="T19" s="7" t="n">
        <f aca="false">Допущения!$D$31</f>
        <v>8000</v>
      </c>
      <c r="U19" s="7" t="n">
        <f aca="false">Допущения!$D$31</f>
        <v>8000</v>
      </c>
      <c r="V19" s="7" t="n">
        <f aca="false">Допущения!$D$31</f>
        <v>8000</v>
      </c>
      <c r="W19" s="7" t="n">
        <f aca="false">Допущения!$D$31</f>
        <v>8000</v>
      </c>
      <c r="X19" s="7" t="n">
        <f aca="false">Допущения!$D$31</f>
        <v>8000</v>
      </c>
      <c r="Y19" s="7" t="n">
        <f aca="false">Допущения!$D$31</f>
        <v>8000</v>
      </c>
    </row>
    <row r="20" customFormat="false" ht="15" hidden="false" customHeight="false" outlineLevel="0" collapsed="false">
      <c r="A20" s="17" t="s">
        <v>145</v>
      </c>
      <c r="B20" s="7" t="n">
        <f aca="false">Допущения!$D$32</f>
        <v>2500</v>
      </c>
      <c r="C20" s="7" t="n">
        <f aca="false">Допущения!$D$32</f>
        <v>2500</v>
      </c>
      <c r="D20" s="7" t="n">
        <f aca="false">Допущения!$D$32</f>
        <v>2500</v>
      </c>
      <c r="E20" s="7" t="n">
        <f aca="false">Допущения!$D$32</f>
        <v>2500</v>
      </c>
      <c r="F20" s="7" t="n">
        <f aca="false">Допущения!$D$32</f>
        <v>2500</v>
      </c>
      <c r="G20" s="7" t="n">
        <f aca="false">Допущения!$D$32</f>
        <v>2500</v>
      </c>
      <c r="H20" s="7" t="n">
        <f aca="false">Допущения!$D$32</f>
        <v>2500</v>
      </c>
      <c r="I20" s="7" t="n">
        <f aca="false">Допущения!$D$32</f>
        <v>2500</v>
      </c>
      <c r="J20" s="7" t="n">
        <f aca="false">Допущения!$D$32</f>
        <v>2500</v>
      </c>
      <c r="K20" s="7" t="n">
        <f aca="false">Допущения!$D$32</f>
        <v>2500</v>
      </c>
      <c r="L20" s="7" t="n">
        <f aca="false">Допущения!$D$32</f>
        <v>2500</v>
      </c>
      <c r="M20" s="7" t="n">
        <f aca="false">Допущения!$D$32</f>
        <v>2500</v>
      </c>
      <c r="N20" s="7" t="n">
        <f aca="false">Допущения!$D$32</f>
        <v>2500</v>
      </c>
      <c r="O20" s="7" t="n">
        <f aca="false">Допущения!$D$32</f>
        <v>2500</v>
      </c>
      <c r="P20" s="7" t="n">
        <f aca="false">Допущения!$D$32</f>
        <v>2500</v>
      </c>
      <c r="Q20" s="7" t="n">
        <f aca="false">Допущения!$D$32</f>
        <v>2500</v>
      </c>
      <c r="R20" s="7" t="n">
        <f aca="false">Допущения!$D$32</f>
        <v>2500</v>
      </c>
      <c r="S20" s="7" t="n">
        <f aca="false">Допущения!$D$32</f>
        <v>2500</v>
      </c>
      <c r="T20" s="7" t="n">
        <f aca="false">Допущения!$D$32</f>
        <v>2500</v>
      </c>
      <c r="U20" s="7" t="n">
        <f aca="false">Допущения!$D$32</f>
        <v>2500</v>
      </c>
      <c r="V20" s="7" t="n">
        <f aca="false">Допущения!$D$32</f>
        <v>2500</v>
      </c>
      <c r="W20" s="7" t="n">
        <f aca="false">Допущения!$D$32</f>
        <v>2500</v>
      </c>
      <c r="X20" s="7" t="n">
        <f aca="false">Допущения!$D$32</f>
        <v>2500</v>
      </c>
      <c r="Y20" s="7" t="n">
        <f aca="false">Допущения!$D$32</f>
        <v>2500</v>
      </c>
      <c r="Z20" s="8" t="s">
        <v>245</v>
      </c>
    </row>
    <row r="21" customFormat="false" ht="15" hidden="false" customHeight="false" outlineLevel="0" collapsed="false">
      <c r="A21" s="17" t="s">
        <v>246</v>
      </c>
      <c r="B21" s="7" t="n">
        <f aca="false">Допущения!$D$33</f>
        <v>7000</v>
      </c>
      <c r="C21" s="7" t="n">
        <f aca="false">Допущения!$D$33</f>
        <v>7000</v>
      </c>
      <c r="D21" s="7" t="n">
        <f aca="false">Допущения!$D$33</f>
        <v>7000</v>
      </c>
      <c r="E21" s="7" t="n">
        <f aca="false">Допущения!$D$33</f>
        <v>7000</v>
      </c>
      <c r="F21" s="7" t="n">
        <f aca="false">Допущения!$D$33</f>
        <v>7000</v>
      </c>
      <c r="G21" s="7" t="n">
        <f aca="false">Допущения!$D$33</f>
        <v>7000</v>
      </c>
      <c r="H21" s="7" t="n">
        <f aca="false">Допущения!$D$33</f>
        <v>7000</v>
      </c>
      <c r="I21" s="7" t="n">
        <f aca="false">Допущения!$D$33</f>
        <v>7000</v>
      </c>
      <c r="J21" s="7" t="n">
        <f aca="false">Допущения!$D$33</f>
        <v>7000</v>
      </c>
      <c r="K21" s="7" t="n">
        <f aca="false">Допущения!$D$33</f>
        <v>7000</v>
      </c>
      <c r="L21" s="7" t="n">
        <f aca="false">Допущения!$D$33</f>
        <v>7000</v>
      </c>
      <c r="M21" s="7" t="n">
        <f aca="false">Допущения!$D$33</f>
        <v>7000</v>
      </c>
      <c r="N21" s="7" t="n">
        <f aca="false">Допущения!$D$33</f>
        <v>7000</v>
      </c>
      <c r="O21" s="7" t="n">
        <f aca="false">Допущения!$D$33</f>
        <v>7000</v>
      </c>
      <c r="P21" s="7" t="n">
        <f aca="false">Допущения!$D$33</f>
        <v>7000</v>
      </c>
      <c r="Q21" s="7" t="n">
        <f aca="false">Допущения!$D$33</f>
        <v>7000</v>
      </c>
      <c r="R21" s="7" t="n">
        <f aca="false">Допущения!$D$33</f>
        <v>7000</v>
      </c>
      <c r="S21" s="7" t="n">
        <f aca="false">Допущения!$D$33</f>
        <v>7000</v>
      </c>
      <c r="T21" s="7" t="n">
        <f aca="false">Допущения!$D$33</f>
        <v>7000</v>
      </c>
      <c r="U21" s="7" t="n">
        <f aca="false">Допущения!$D$33</f>
        <v>7000</v>
      </c>
      <c r="V21" s="7" t="n">
        <f aca="false">Допущения!$D$33</f>
        <v>7000</v>
      </c>
      <c r="W21" s="7" t="n">
        <f aca="false">Допущения!$D$33</f>
        <v>7000</v>
      </c>
      <c r="X21" s="7" t="n">
        <f aca="false">Допущения!$D$33</f>
        <v>7000</v>
      </c>
      <c r="Y21" s="7" t="n">
        <f aca="false">Допущения!$D$33</f>
        <v>7000</v>
      </c>
    </row>
    <row r="22" customFormat="false" ht="15" hidden="false" customHeight="false" outlineLevel="0" collapsed="false">
      <c r="A22" s="17" t="s">
        <v>135</v>
      </c>
      <c r="B22" s="7" t="n">
        <f aca="false">Допущения!$D$26</f>
        <v>1908</v>
      </c>
      <c r="C22" s="7" t="n">
        <f aca="false">Допущения!$D$26</f>
        <v>1908</v>
      </c>
      <c r="D22" s="7" t="n">
        <f aca="false">Допущения!$D$26</f>
        <v>1908</v>
      </c>
      <c r="E22" s="7" t="n">
        <f aca="false">Допущения!$D$26</f>
        <v>1908</v>
      </c>
      <c r="F22" s="7" t="n">
        <f aca="false">Допущения!$D$26</f>
        <v>1908</v>
      </c>
      <c r="G22" s="7" t="n">
        <f aca="false">Допущения!$D$26</f>
        <v>1908</v>
      </c>
      <c r="H22" s="7" t="n">
        <f aca="false">Допущения!$D$26</f>
        <v>1908</v>
      </c>
      <c r="I22" s="7" t="n">
        <f aca="false">Допущения!$D$26</f>
        <v>1908</v>
      </c>
      <c r="J22" s="7" t="n">
        <f aca="false">Допущения!$D$26</f>
        <v>1908</v>
      </c>
      <c r="K22" s="7" t="n">
        <f aca="false">Допущения!$D$26</f>
        <v>1908</v>
      </c>
      <c r="L22" s="7" t="n">
        <f aca="false">Допущения!$D$26</f>
        <v>1908</v>
      </c>
      <c r="M22" s="7" t="n">
        <f aca="false">Допущения!$D$26</f>
        <v>1908</v>
      </c>
      <c r="N22" s="7" t="n">
        <f aca="false">Допущения!$D$26</f>
        <v>1908</v>
      </c>
      <c r="O22" s="7" t="n">
        <f aca="false">Допущения!$D$26</f>
        <v>1908</v>
      </c>
      <c r="P22" s="7" t="n">
        <f aca="false">Допущения!$D$26</f>
        <v>1908</v>
      </c>
      <c r="Q22" s="7" t="n">
        <f aca="false">Допущения!$D$26</f>
        <v>1908</v>
      </c>
      <c r="R22" s="7" t="n">
        <f aca="false">Допущения!$D$26</f>
        <v>1908</v>
      </c>
      <c r="S22" s="7" t="n">
        <f aca="false">Допущения!$D$26</f>
        <v>1908</v>
      </c>
      <c r="T22" s="7" t="n">
        <f aca="false">Допущения!$D$26</f>
        <v>1908</v>
      </c>
      <c r="U22" s="7" t="n">
        <f aca="false">Допущения!$D$26</f>
        <v>1908</v>
      </c>
      <c r="V22" s="7" t="n">
        <f aca="false">Допущения!$D$26</f>
        <v>1908</v>
      </c>
      <c r="W22" s="7" t="n">
        <f aca="false">Допущения!$D$26</f>
        <v>1908</v>
      </c>
      <c r="X22" s="7" t="n">
        <f aca="false">Допущения!$D$26</f>
        <v>1908</v>
      </c>
      <c r="Y22" s="7" t="n">
        <f aca="false">Допущения!$D$26</f>
        <v>1908</v>
      </c>
    </row>
    <row r="23" customFormat="false" ht="15" hidden="false" customHeight="false" outlineLevel="0" collapsed="false">
      <c r="A23" s="17" t="s">
        <v>247</v>
      </c>
      <c r="B23" s="7" t="n">
        <f aca="false">Допущения!$D$34</f>
        <v>10000</v>
      </c>
      <c r="C23" s="7" t="n">
        <f aca="false">Допущения!$D$34</f>
        <v>10000</v>
      </c>
      <c r="D23" s="7" t="n">
        <f aca="false">Допущения!$D$34</f>
        <v>10000</v>
      </c>
      <c r="E23" s="7" t="n">
        <f aca="false">Допущения!$D$34</f>
        <v>10000</v>
      </c>
      <c r="F23" s="7" t="n">
        <f aca="false">Допущения!$D$34</f>
        <v>10000</v>
      </c>
      <c r="G23" s="7" t="n">
        <f aca="false">Допущения!$D$34</f>
        <v>10000</v>
      </c>
      <c r="H23" s="7" t="n">
        <f aca="false">Допущения!$D$34</f>
        <v>10000</v>
      </c>
      <c r="I23" s="7" t="n">
        <f aca="false">Допущения!$D$34</f>
        <v>10000</v>
      </c>
      <c r="J23" s="7" t="n">
        <f aca="false">Допущения!$D$34</f>
        <v>10000</v>
      </c>
      <c r="K23" s="7" t="n">
        <f aca="false">Допущения!$D$34</f>
        <v>10000</v>
      </c>
      <c r="L23" s="7" t="n">
        <f aca="false">Допущения!$D$34</f>
        <v>10000</v>
      </c>
      <c r="M23" s="7" t="n">
        <f aca="false">Допущения!$D$34</f>
        <v>10000</v>
      </c>
      <c r="N23" s="7" t="n">
        <f aca="false">Допущения!$D$34</f>
        <v>10000</v>
      </c>
      <c r="O23" s="7" t="n">
        <f aca="false">Допущения!$D$34</f>
        <v>10000</v>
      </c>
      <c r="P23" s="7" t="n">
        <f aca="false">Допущения!$D$34</f>
        <v>10000</v>
      </c>
      <c r="Q23" s="7" t="n">
        <f aca="false">Допущения!$D$34</f>
        <v>10000</v>
      </c>
      <c r="R23" s="7" t="n">
        <f aca="false">Допущения!$D$34</f>
        <v>10000</v>
      </c>
      <c r="S23" s="7" t="n">
        <f aca="false">Допущения!$D$34</f>
        <v>10000</v>
      </c>
      <c r="T23" s="7" t="n">
        <f aca="false">Допущения!$D$34</f>
        <v>10000</v>
      </c>
      <c r="U23" s="7" t="n">
        <f aca="false">Допущения!$D$34</f>
        <v>10000</v>
      </c>
      <c r="V23" s="7" t="n">
        <f aca="false">Допущения!$D$34</f>
        <v>10000</v>
      </c>
      <c r="W23" s="7" t="n">
        <f aca="false">Допущения!$D$34</f>
        <v>10000</v>
      </c>
      <c r="X23" s="7" t="n">
        <f aca="false">Допущения!$D$34</f>
        <v>10000</v>
      </c>
      <c r="Y23" s="7" t="n">
        <f aca="false">Допущения!$D$34</f>
        <v>10000</v>
      </c>
    </row>
    <row r="24" customFormat="false" ht="15" hidden="false" customHeight="false" outlineLevel="0" collapsed="false">
      <c r="A24" s="17" t="s">
        <v>151</v>
      </c>
      <c r="B24" s="7" t="n">
        <f aca="false">Допущения!$D$35</f>
        <v>30000</v>
      </c>
      <c r="C24" s="7" t="n">
        <f aca="false">Допущения!$D$35</f>
        <v>30000</v>
      </c>
      <c r="D24" s="7" t="n">
        <f aca="false">Допущения!$D$35</f>
        <v>30000</v>
      </c>
      <c r="E24" s="7" t="n">
        <f aca="false">Допущения!$D$35</f>
        <v>30000</v>
      </c>
      <c r="F24" s="7" t="n">
        <f aca="false">Допущения!$D$35</f>
        <v>30000</v>
      </c>
      <c r="G24" s="7" t="n">
        <f aca="false">Допущения!$D$35</f>
        <v>30000</v>
      </c>
      <c r="H24" s="7" t="n">
        <f aca="false">Допущения!$D$35</f>
        <v>30000</v>
      </c>
      <c r="I24" s="7" t="n">
        <f aca="false">Допущения!$D$35</f>
        <v>30000</v>
      </c>
      <c r="J24" s="7" t="n">
        <f aca="false">Допущения!$D$35</f>
        <v>30000</v>
      </c>
      <c r="K24" s="7" t="n">
        <f aca="false">Допущения!$D$35</f>
        <v>30000</v>
      </c>
      <c r="L24" s="7" t="n">
        <f aca="false">Допущения!$D$35</f>
        <v>30000</v>
      </c>
      <c r="M24" s="7" t="n">
        <f aca="false">Допущения!$D$35</f>
        <v>30000</v>
      </c>
      <c r="N24" s="7" t="n">
        <f aca="false">Допущения!$D$35</f>
        <v>30000</v>
      </c>
      <c r="O24" s="7" t="n">
        <f aca="false">Допущения!$D$35</f>
        <v>30000</v>
      </c>
      <c r="P24" s="7" t="n">
        <f aca="false">Допущения!$D$35</f>
        <v>30000</v>
      </c>
      <c r="Q24" s="7" t="n">
        <f aca="false">Допущения!$D$35</f>
        <v>30000</v>
      </c>
      <c r="R24" s="7" t="n">
        <f aca="false">Допущения!$D$35</f>
        <v>30000</v>
      </c>
      <c r="S24" s="7" t="n">
        <f aca="false">Допущения!$D$35</f>
        <v>30000</v>
      </c>
      <c r="T24" s="7" t="n">
        <f aca="false">Допущения!$D$35</f>
        <v>30000</v>
      </c>
      <c r="U24" s="7" t="n">
        <f aca="false">Допущения!$D$35</f>
        <v>30000</v>
      </c>
      <c r="V24" s="7" t="n">
        <f aca="false">Допущения!$D$35</f>
        <v>30000</v>
      </c>
      <c r="W24" s="7" t="n">
        <f aca="false">Допущения!$D$35</f>
        <v>30000</v>
      </c>
      <c r="X24" s="7" t="n">
        <f aca="false">Допущения!$D$35</f>
        <v>30000</v>
      </c>
      <c r="Y24" s="7" t="n">
        <f aca="false">Допущения!$D$35</f>
        <v>30000</v>
      </c>
    </row>
    <row r="25" customFormat="false" ht="15" hidden="false" customHeight="false" outlineLevel="0" collapsed="false">
      <c r="A25" s="17" t="s">
        <v>248</v>
      </c>
      <c r="B25" s="7" t="n">
        <f aca="false">Допущения!$D$36</f>
        <v>8000</v>
      </c>
      <c r="C25" s="7" t="n">
        <f aca="false">Допущения!$D$36</f>
        <v>8000</v>
      </c>
      <c r="D25" s="7" t="n">
        <f aca="false">Допущения!$D$36</f>
        <v>8000</v>
      </c>
      <c r="E25" s="7" t="n">
        <f aca="false">Допущения!$D$36</f>
        <v>8000</v>
      </c>
      <c r="F25" s="7" t="n">
        <f aca="false">Допущения!$D$36</f>
        <v>8000</v>
      </c>
      <c r="G25" s="7" t="n">
        <f aca="false">Допущения!$D$36</f>
        <v>8000</v>
      </c>
      <c r="H25" s="7" t="n">
        <f aca="false">Допущения!$D$36</f>
        <v>8000</v>
      </c>
      <c r="I25" s="7" t="n">
        <f aca="false">Допущения!$D$36</f>
        <v>8000</v>
      </c>
      <c r="J25" s="7" t="n">
        <f aca="false">Допущения!$D$36</f>
        <v>8000</v>
      </c>
      <c r="K25" s="7" t="n">
        <f aca="false">Допущения!$D$36</f>
        <v>8000</v>
      </c>
      <c r="L25" s="7" t="n">
        <f aca="false">Допущения!$D$36</f>
        <v>8000</v>
      </c>
      <c r="M25" s="7" t="n">
        <f aca="false">Допущения!$D$36</f>
        <v>8000</v>
      </c>
      <c r="N25" s="7" t="n">
        <f aca="false">Допущения!$D$36</f>
        <v>8000</v>
      </c>
      <c r="O25" s="7" t="n">
        <f aca="false">Допущения!$D$36</f>
        <v>8000</v>
      </c>
      <c r="P25" s="7" t="n">
        <f aca="false">Допущения!$D$36</f>
        <v>8000</v>
      </c>
      <c r="Q25" s="7" t="n">
        <f aca="false">Допущения!$D$36</f>
        <v>8000</v>
      </c>
      <c r="R25" s="7" t="n">
        <f aca="false">Допущения!$D$36</f>
        <v>8000</v>
      </c>
      <c r="S25" s="7" t="n">
        <f aca="false">Допущения!$D$36</f>
        <v>8000</v>
      </c>
      <c r="T25" s="7" t="n">
        <f aca="false">Допущения!$D$36</f>
        <v>8000</v>
      </c>
      <c r="U25" s="7" t="n">
        <f aca="false">Допущения!$D$36</f>
        <v>8000</v>
      </c>
      <c r="V25" s="7" t="n">
        <f aca="false">Допущения!$D$36</f>
        <v>8000</v>
      </c>
      <c r="W25" s="7" t="n">
        <f aca="false">Допущения!$D$36</f>
        <v>8000</v>
      </c>
      <c r="X25" s="7" t="n">
        <f aca="false">Допущения!$D$36</f>
        <v>8000</v>
      </c>
      <c r="Y25" s="7" t="n">
        <f aca="false">Допущения!$D$36</f>
        <v>8000</v>
      </c>
    </row>
    <row r="26" customFormat="false" ht="15" hidden="false" customHeight="false" outlineLevel="0" collapsed="false">
      <c r="A26" s="17" t="s">
        <v>183</v>
      </c>
      <c r="B26" s="7" t="n">
        <f aca="false">B14*Допущения!$D$52</f>
        <v>0</v>
      </c>
      <c r="C26" s="7" t="n">
        <f aca="false">C14*Допущения!$D$52</f>
        <v>0</v>
      </c>
      <c r="D26" s="7" t="n">
        <f aca="false">D14*Допущения!$D$52</f>
        <v>0</v>
      </c>
      <c r="E26" s="7" t="n">
        <f aca="false">E14*Допущения!$D$52</f>
        <v>176.3415</v>
      </c>
      <c r="F26" s="7" t="n">
        <f aca="false">F14*Допущения!$D$52</f>
        <v>312.696947766667</v>
      </c>
      <c r="G26" s="7" t="n">
        <f aca="false">G14*Допущения!$D$52</f>
        <v>438.936933049283</v>
      </c>
      <c r="H26" s="7" t="n">
        <f aca="false">H14*Допущения!$D$52</f>
        <v>556.120028077974</v>
      </c>
      <c r="I26" s="7" t="n">
        <f aca="false">I14*Допущения!$D$52</f>
        <v>665.190320381108</v>
      </c>
      <c r="J26" s="7" t="n">
        <f aca="false">J14*Допущения!$D$52</f>
        <v>766.990620869649</v>
      </c>
      <c r="K26" s="7" t="n">
        <f aca="false">K14*Допущения!$D$52</f>
        <v>862.274078319</v>
      </c>
      <c r="L26" s="7" t="n">
        <f aca="false">L14*Допущения!$D$52</f>
        <v>951.714400999892</v>
      </c>
      <c r="M26" s="7" t="n">
        <f aca="false">M14*Допущения!$D$52</f>
        <v>1132.24335996178</v>
      </c>
      <c r="N26" s="7" t="n">
        <f aca="false">N14*Допущения!$D$52</f>
        <v>1256.90389907567</v>
      </c>
      <c r="O26" s="7" t="n">
        <f aca="false">O14*Допущения!$D$52</f>
        <v>1374.32059539438</v>
      </c>
      <c r="P26" s="7" t="n">
        <f aca="false">P14*Допущения!$D$52</f>
        <v>1485.23013231294</v>
      </c>
      <c r="Q26" s="7" t="n">
        <f aca="false">Q14*Допущения!$D$52</f>
        <v>1590.29472988094</v>
      </c>
      <c r="R26" s="7" t="n">
        <f aca="false">R14*Допущения!$D$52</f>
        <v>1809.90633781758</v>
      </c>
      <c r="S26" s="7" t="n">
        <f aca="false">S14*Допущения!$D$52</f>
        <v>1949.98055683705</v>
      </c>
      <c r="T26" s="7" t="n">
        <f aca="false">T14*Допущения!$D$52</f>
        <v>2083.00867076518</v>
      </c>
      <c r="U26" s="7" t="n">
        <f aca="false">U14*Допущения!$D$52</f>
        <v>2343.57562902849</v>
      </c>
      <c r="V26" s="7" t="n">
        <f aca="false">V14*Допущения!$D$52</f>
        <v>2509.42402678559</v>
      </c>
      <c r="W26" s="7" t="n">
        <f aca="false">W14*Допущения!$D$52</f>
        <v>2667.46175170902</v>
      </c>
      <c r="X26" s="7" t="n">
        <f aca="false">X14*Допущения!$D$52</f>
        <v>2966.42454048021</v>
      </c>
      <c r="Y26" s="7" t="n">
        <f aca="false">Y14*Допущения!$D$52</f>
        <v>3155.84288164943</v>
      </c>
    </row>
    <row r="27" customFormat="false" ht="43.25" hidden="false" customHeight="false" outlineLevel="0" collapsed="false">
      <c r="A27" s="17" t="s">
        <v>249</v>
      </c>
      <c r="B27" s="7" t="n">
        <f aca="false">B13*Допущения!$D$53/2</f>
        <v>0</v>
      </c>
      <c r="C27" s="7" t="n">
        <f aca="false">C13*Допущения!$D$53/2</f>
        <v>0</v>
      </c>
      <c r="D27" s="7" t="n">
        <f aca="false">D13*Допущения!$D$53/2</f>
        <v>0</v>
      </c>
      <c r="E27" s="7" t="n">
        <f aca="false">E13*Допущения!$D$53/2</f>
        <v>39.1125</v>
      </c>
      <c r="F27" s="7" t="n">
        <f aca="false">F13*Допущения!$D$53/2</f>
        <v>52.15</v>
      </c>
      <c r="G27" s="7" t="n">
        <f aca="false">G13*Допущения!$D$53/2</f>
        <v>65.1875</v>
      </c>
      <c r="H27" s="7" t="n">
        <f aca="false">H13*Допущения!$D$53/2</f>
        <v>78.225</v>
      </c>
      <c r="I27" s="7" t="n">
        <f aca="false">I13*Допущения!$D$53/2</f>
        <v>91.2625</v>
      </c>
      <c r="J27" s="7" t="n">
        <f aca="false">J13*Допущения!$D$53/2</f>
        <v>104.3</v>
      </c>
      <c r="K27" s="7" t="n">
        <f aca="false">K13*Допущения!$D$53/2</f>
        <v>117.3375</v>
      </c>
      <c r="L27" s="7" t="n">
        <f aca="false">L13*Допущения!$D$53/2</f>
        <v>130.375</v>
      </c>
      <c r="M27" s="7" t="n">
        <f aca="false">M13*Допущения!$D$53/2</f>
        <v>191.216666666667</v>
      </c>
      <c r="N27" s="7" t="n">
        <f aca="false">N13*Допущения!$D$53/2</f>
        <v>208.6</v>
      </c>
      <c r="O27" s="7" t="n">
        <f aca="false">O13*Допущения!$D$53/2</f>
        <v>225.983333333333</v>
      </c>
      <c r="P27" s="7" t="n">
        <f aca="false">P13*Допущения!$D$53/2</f>
        <v>243.366666666667</v>
      </c>
      <c r="Q27" s="7" t="n">
        <f aca="false">Q13*Допущения!$D$53/2</f>
        <v>260.75</v>
      </c>
      <c r="R27" s="7" t="n">
        <f aca="false">R13*Допущения!$D$53/2</f>
        <v>347.666666666667</v>
      </c>
      <c r="S27" s="7" t="n">
        <f aca="false">S13*Допущения!$D$53/2</f>
        <v>369.395833333333</v>
      </c>
      <c r="T27" s="7" t="n">
        <f aca="false">T13*Допущения!$D$53/2</f>
        <v>391.125</v>
      </c>
      <c r="U27" s="7" t="n">
        <f aca="false">U13*Допущения!$D$53/2</f>
        <v>495.425</v>
      </c>
      <c r="V27" s="7" t="n">
        <f aca="false">V13*Допущения!$D$53/2</f>
        <v>521.5</v>
      </c>
      <c r="W27" s="7" t="n">
        <f aca="false">W13*Допущения!$D$53/2</f>
        <v>547.575</v>
      </c>
      <c r="X27" s="7" t="n">
        <f aca="false">X13*Допущения!$D$53/2</f>
        <v>669.258333333333</v>
      </c>
      <c r="Y27" s="7" t="n">
        <f aca="false">Y13*Допущения!$D$53/2</f>
        <v>699.679166666667</v>
      </c>
      <c r="Z27" s="8" t="s">
        <v>250</v>
      </c>
    </row>
    <row r="28" customFormat="false" ht="15" hidden="false" customHeight="false" outlineLevel="0" collapsed="false">
      <c r="A28" s="17" t="s">
        <v>251</v>
      </c>
      <c r="B28" s="7" t="n">
        <f aca="false">Допущения!$D$38</f>
        <v>0</v>
      </c>
      <c r="C28" s="7" t="n">
        <f aca="false">Допущения!$D$38</f>
        <v>0</v>
      </c>
      <c r="D28" s="7" t="n">
        <f aca="false">Допущения!$D$38</f>
        <v>0</v>
      </c>
      <c r="E28" s="7" t="n">
        <f aca="false">Допущения!$D$38</f>
        <v>0</v>
      </c>
      <c r="F28" s="7" t="n">
        <f aca="false">Допущения!$D$38</f>
        <v>0</v>
      </c>
      <c r="G28" s="7" t="n">
        <f aca="false">Допущения!$D$38</f>
        <v>0</v>
      </c>
      <c r="H28" s="7" t="n">
        <f aca="false">Допущения!$D$38</f>
        <v>0</v>
      </c>
      <c r="I28" s="7" t="n">
        <f aca="false">Допущения!$D$38</f>
        <v>0</v>
      </c>
      <c r="J28" s="7" t="n">
        <f aca="false">Допущения!$D$38</f>
        <v>0</v>
      </c>
      <c r="K28" s="7" t="n">
        <f aca="false">Допущения!$D$38</f>
        <v>0</v>
      </c>
      <c r="L28" s="7" t="n">
        <f aca="false">Допущения!$D$38</f>
        <v>0</v>
      </c>
      <c r="M28" s="7" t="n">
        <f aca="false">Допущения!$D$38</f>
        <v>0</v>
      </c>
      <c r="N28" s="7" t="n">
        <f aca="false">Допущения!$D$38</f>
        <v>0</v>
      </c>
      <c r="O28" s="7" t="n">
        <f aca="false">Допущения!$D$38</f>
        <v>0</v>
      </c>
      <c r="P28" s="7" t="n">
        <f aca="false">Допущения!$D$38</f>
        <v>0</v>
      </c>
      <c r="Q28" s="7" t="n">
        <f aca="false">Допущения!$D$38</f>
        <v>0</v>
      </c>
      <c r="R28" s="7" t="n">
        <f aca="false">Допущения!$D$38</f>
        <v>0</v>
      </c>
      <c r="S28" s="7" t="n">
        <f aca="false">Допущения!$D$38</f>
        <v>0</v>
      </c>
      <c r="T28" s="7" t="n">
        <f aca="false">Допущения!$D$38</f>
        <v>0</v>
      </c>
      <c r="U28" s="7" t="n">
        <f aca="false">Допущения!$D$38</f>
        <v>0</v>
      </c>
      <c r="V28" s="7" t="n">
        <f aca="false">Допущения!$D$38</f>
        <v>0</v>
      </c>
      <c r="W28" s="7" t="n">
        <f aca="false">Допущения!$D$38</f>
        <v>0</v>
      </c>
      <c r="X28" s="7" t="n">
        <f aca="false">Допущения!$D$38</f>
        <v>0</v>
      </c>
      <c r="Y28" s="7" t="n">
        <f aca="false">Допущения!$D$38</f>
        <v>0</v>
      </c>
    </row>
    <row r="29" customFormat="false" ht="15" hidden="false" customHeight="false" outlineLevel="0" collapsed="false">
      <c r="A29" s="17" t="s">
        <v>252</v>
      </c>
      <c r="B29" s="7" t="n">
        <f aca="false">Допущения!$D$39</f>
        <v>0</v>
      </c>
      <c r="C29" s="7" t="n">
        <f aca="false">Допущения!$D$39</f>
        <v>0</v>
      </c>
      <c r="D29" s="7" t="n">
        <f aca="false">Допущения!$D$39</f>
        <v>0</v>
      </c>
      <c r="E29" s="7" t="n">
        <f aca="false">Допущения!$D$39</f>
        <v>0</v>
      </c>
      <c r="F29" s="7" t="n">
        <f aca="false">Допущения!$D$39</f>
        <v>0</v>
      </c>
      <c r="G29" s="7" t="n">
        <f aca="false">Допущения!$D$39</f>
        <v>0</v>
      </c>
      <c r="H29" s="7" t="n">
        <f aca="false">Допущения!$D$39</f>
        <v>0</v>
      </c>
      <c r="I29" s="7" t="n">
        <f aca="false">Допущения!$D$39</f>
        <v>0</v>
      </c>
      <c r="J29" s="7" t="n">
        <f aca="false">Допущения!$D$39</f>
        <v>0</v>
      </c>
      <c r="K29" s="7" t="n">
        <f aca="false">Допущения!$D$39</f>
        <v>0</v>
      </c>
      <c r="L29" s="7" t="n">
        <f aca="false">Допущения!$D$39</f>
        <v>0</v>
      </c>
      <c r="M29" s="7" t="n">
        <f aca="false">Допущения!$D$39</f>
        <v>0</v>
      </c>
      <c r="N29" s="7" t="n">
        <f aca="false">Допущения!$D$39</f>
        <v>0</v>
      </c>
      <c r="O29" s="7" t="n">
        <f aca="false">Допущения!$D$39</f>
        <v>0</v>
      </c>
      <c r="P29" s="7" t="n">
        <f aca="false">Допущения!$D$39</f>
        <v>0</v>
      </c>
      <c r="Q29" s="7" t="n">
        <f aca="false">Допущения!$D$39</f>
        <v>0</v>
      </c>
      <c r="R29" s="7" t="n">
        <f aca="false">Допущения!$D$39</f>
        <v>0</v>
      </c>
      <c r="S29" s="7" t="n">
        <f aca="false">Допущения!$D$39</f>
        <v>0</v>
      </c>
      <c r="T29" s="7" t="n">
        <f aca="false">Допущения!$D$39</f>
        <v>0</v>
      </c>
      <c r="U29" s="7" t="n">
        <f aca="false">Допущения!$D$39</f>
        <v>0</v>
      </c>
      <c r="V29" s="7" t="n">
        <f aca="false">Допущения!$D$39</f>
        <v>0</v>
      </c>
      <c r="W29" s="7" t="n">
        <f aca="false">Допущения!$D$39</f>
        <v>0</v>
      </c>
      <c r="X29" s="7" t="n">
        <f aca="false">Допущения!$D$39</f>
        <v>0</v>
      </c>
      <c r="Y29" s="7" t="n">
        <f aca="false">Допущения!$D$39</f>
        <v>0</v>
      </c>
    </row>
    <row r="30" customFormat="false" ht="32.8" hidden="false" customHeight="false" outlineLevel="0" collapsed="false">
      <c r="A30" s="17" t="s">
        <v>253</v>
      </c>
      <c r="B30" s="7" t="n">
        <f aca="false">IF(1&lt;=Допущения!$D$40,0,IF(1&lt;=Допущения!$D$42,Допущения!$D$41,Допущения!$D$43))</f>
        <v>0</v>
      </c>
      <c r="C30" s="7" t="n">
        <f aca="false">IF(2&lt;=Допущения!$D$40,0,IF(2&lt;=Допущения!$D$42,Допущения!$D$41,Допущения!$D$43))</f>
        <v>0</v>
      </c>
      <c r="D30" s="7" t="n">
        <f aca="false">IF(3&lt;=Допущения!$D$40,0,IF(3&lt;=Допущения!$D$42,Допущения!$D$41,Допущения!$D$43))</f>
        <v>0</v>
      </c>
      <c r="E30" s="7" t="n">
        <f aca="false">IF(4&lt;=Допущения!$D$40,0,IF(4&lt;=Допущения!$D$42,Допущения!$D$41,Допущения!$D$43))</f>
        <v>50000</v>
      </c>
      <c r="F30" s="7" t="n">
        <f aca="false">IF(5&lt;=Допущения!$D$40,0,IF(5&lt;=Допущения!$D$42,Допущения!$D$41,Допущения!$D$43))</f>
        <v>50000</v>
      </c>
      <c r="G30" s="7" t="n">
        <f aca="false">IF(6&lt;=Допущения!$D$40,0,IF(6&lt;=Допущения!$D$42,Допущения!$D$41,Допущения!$D$43))</f>
        <v>50000</v>
      </c>
      <c r="H30" s="7" t="n">
        <f aca="false">IF(7&lt;=Допущения!$D$40,0,IF(7&lt;=Допущения!$D$42,Допущения!$D$41,Допущения!$D$43))</f>
        <v>50000</v>
      </c>
      <c r="I30" s="7" t="n">
        <f aca="false">IF(8&lt;=Допущения!$D$40,0,IF(8&lt;=Допущения!$D$42,Допущения!$D$41,Допущения!$D$43))</f>
        <v>50000</v>
      </c>
      <c r="J30" s="7" t="n">
        <f aca="false">IF(9&lt;=Допущения!$D$40,0,IF(9&lt;=Допущения!$D$42,Допущения!$D$41,Допущения!$D$43))</f>
        <v>50000</v>
      </c>
      <c r="K30" s="7" t="n">
        <f aca="false">IF(10&lt;=Допущения!$D$40,0,IF(10&lt;=Допущения!$D$42,Допущения!$D$41,Допущения!$D$43))</f>
        <v>50000</v>
      </c>
      <c r="L30" s="7" t="n">
        <f aca="false">IF(11&lt;=Допущения!$D$40,0,IF(11&lt;=Допущения!$D$42,Допущения!$D$41,Допущения!$D$43))</f>
        <v>50000</v>
      </c>
      <c r="M30" s="7" t="n">
        <f aca="false">IF(12&lt;=Допущения!$D$40,0,IF(12&lt;=Допущения!$D$42,Допущения!$D$41,Допущения!$D$43))</f>
        <v>50000</v>
      </c>
      <c r="N30" s="7" t="n">
        <f aca="false">IF(13&lt;=Допущения!$D$40,0,IF(13&lt;=Допущения!$D$42,Допущения!$D$41,Допущения!$D$43))</f>
        <v>100000</v>
      </c>
      <c r="O30" s="7" t="n">
        <f aca="false">IF(14&lt;=Допущения!$D$40,0,IF(14&lt;=Допущения!$D$42,Допущения!$D$41,Допущения!$D$43))</f>
        <v>100000</v>
      </c>
      <c r="P30" s="7" t="n">
        <f aca="false">IF(15&lt;=Допущения!$D$40,0,IF(15&lt;=Допущения!$D$42,Допущения!$D$41,Допущения!$D$43))</f>
        <v>100000</v>
      </c>
      <c r="Q30" s="7" t="n">
        <f aca="false">IF(16&lt;=Допущения!$D$40,0,IF(16&lt;=Допущения!$D$42,Допущения!$D$41,Допущения!$D$43))</f>
        <v>100000</v>
      </c>
      <c r="R30" s="7" t="n">
        <f aca="false">IF(17&lt;=Допущения!$D$40,0,IF(17&lt;=Допущения!$D$42,Допущения!$D$41,Допущения!$D$43))</f>
        <v>100000</v>
      </c>
      <c r="S30" s="7" t="n">
        <f aca="false">IF(18&lt;=Допущения!$D$40,0,IF(18&lt;=Допущения!$D$42,Допущения!$D$41,Допущения!$D$43))</f>
        <v>100000</v>
      </c>
      <c r="T30" s="7" t="n">
        <f aca="false">IF(19&lt;=Допущения!$D$40,0,IF(19&lt;=Допущения!$D$42,Допущения!$D$41,Допущения!$D$43))</f>
        <v>100000</v>
      </c>
      <c r="U30" s="7" t="n">
        <f aca="false">IF(20&lt;=Допущения!$D$40,0,IF(20&lt;=Допущения!$D$42,Допущения!$D$41,Допущения!$D$43))</f>
        <v>100000</v>
      </c>
      <c r="V30" s="7" t="n">
        <f aca="false">IF(21&lt;=Допущения!$D$40,0,IF(21&lt;=Допущения!$D$42,Допущения!$D$41,Допущения!$D$43))</f>
        <v>100000</v>
      </c>
      <c r="W30" s="7" t="n">
        <f aca="false">IF(22&lt;=Допущения!$D$40,0,IF(22&lt;=Допущения!$D$42,Допущения!$D$41,Допущения!$D$43))</f>
        <v>100000</v>
      </c>
      <c r="X30" s="7" t="n">
        <f aca="false">IF(23&lt;=Допущения!$D$40,0,IF(23&lt;=Допущения!$D$42,Допущения!$D$41,Допущения!$D$43))</f>
        <v>100000</v>
      </c>
      <c r="Y30" s="7" t="n">
        <f aca="false">IF(24&lt;=Допущения!$D$40,0,IF(24&lt;=Допущения!$D$42,Допущения!$D$41,Допущения!$D$43))</f>
        <v>100000</v>
      </c>
      <c r="Z30" s="8" t="s">
        <v>254</v>
      </c>
    </row>
    <row r="31" customFormat="false" ht="32.8" hidden="false" customHeight="false" outlineLevel="0" collapsed="false">
      <c r="A31" s="17" t="s">
        <v>255</v>
      </c>
      <c r="B31" s="7" t="n">
        <f aca="false">Допущения!$D$49/12</f>
        <v>246.583333333333</v>
      </c>
      <c r="C31" s="7" t="n">
        <f aca="false">Допущения!$D$49/12</f>
        <v>246.583333333333</v>
      </c>
      <c r="D31" s="7" t="n">
        <f aca="false">Допущения!$D$49/12</f>
        <v>246.583333333333</v>
      </c>
      <c r="E31" s="7" t="n">
        <f aca="false">Допущения!$D$49/12</f>
        <v>246.583333333333</v>
      </c>
      <c r="F31" s="7" t="n">
        <f aca="false">Допущения!$D$49/12</f>
        <v>246.583333333333</v>
      </c>
      <c r="G31" s="7" t="n">
        <f aca="false">Допущения!$D$49/12</f>
        <v>246.583333333333</v>
      </c>
      <c r="H31" s="7" t="n">
        <f aca="false">Допущения!$D$49/12</f>
        <v>246.583333333333</v>
      </c>
      <c r="I31" s="7" t="n">
        <f aca="false">Допущения!$D$49/12</f>
        <v>246.583333333333</v>
      </c>
      <c r="J31" s="7" t="n">
        <f aca="false">Допущения!$D$49/12</f>
        <v>246.583333333333</v>
      </c>
      <c r="K31" s="7" t="n">
        <f aca="false">Допущения!$D$49/12</f>
        <v>246.583333333333</v>
      </c>
      <c r="L31" s="7" t="n">
        <f aca="false">Допущения!$D$49/12</f>
        <v>246.583333333333</v>
      </c>
      <c r="M31" s="7" t="n">
        <f aca="false">Допущения!$D$49/12</f>
        <v>246.583333333333</v>
      </c>
      <c r="N31" s="7" t="n">
        <f aca="false">Допущения!$D$49/12</f>
        <v>246.583333333333</v>
      </c>
      <c r="O31" s="7" t="n">
        <f aca="false">Допущения!$D$49/12</f>
        <v>246.583333333333</v>
      </c>
      <c r="P31" s="7" t="n">
        <f aca="false">Допущения!$D$49/12</f>
        <v>246.583333333333</v>
      </c>
      <c r="Q31" s="7" t="n">
        <f aca="false">Допущения!$D$49/12</f>
        <v>246.583333333333</v>
      </c>
      <c r="R31" s="7" t="n">
        <f aca="false">Допущения!$D$49/12</f>
        <v>246.583333333333</v>
      </c>
      <c r="S31" s="7" t="n">
        <f aca="false">Допущения!$D$49/12</f>
        <v>246.583333333333</v>
      </c>
      <c r="T31" s="7" t="n">
        <f aca="false">Допущения!$D$49/12</f>
        <v>246.583333333333</v>
      </c>
      <c r="U31" s="7" t="n">
        <f aca="false">Допущения!$D$49/12</f>
        <v>246.583333333333</v>
      </c>
      <c r="V31" s="7" t="n">
        <f aca="false">Допущения!$D$49/12</f>
        <v>246.583333333333</v>
      </c>
      <c r="W31" s="7" t="n">
        <f aca="false">Допущения!$D$49/12</f>
        <v>246.583333333333</v>
      </c>
      <c r="X31" s="7" t="n">
        <f aca="false">Допущения!$D$49/12</f>
        <v>246.583333333333</v>
      </c>
      <c r="Y31" s="7" t="n">
        <f aca="false">Допущения!$D$49/12</f>
        <v>246.583333333333</v>
      </c>
      <c r="Z31" s="8" t="s">
        <v>256</v>
      </c>
    </row>
    <row r="32" customFormat="false" ht="15" hidden="false" customHeight="false" outlineLevel="0" collapsed="false">
      <c r="A32" s="5" t="s">
        <v>257</v>
      </c>
      <c r="B32" s="14" t="n">
        <f aca="false">SUM(B16:B31)</f>
        <v>99954.5833333333</v>
      </c>
      <c r="C32" s="14" t="n">
        <f aca="false">SUM(C16:C31)</f>
        <v>99954.5833333333</v>
      </c>
      <c r="D32" s="14" t="n">
        <f aca="false">SUM(D16:D31)</f>
        <v>99954.5833333333</v>
      </c>
      <c r="E32" s="14" t="n">
        <f aca="false">SUM(E16:E31)</f>
        <v>150255.537333333</v>
      </c>
      <c r="F32" s="14" t="n">
        <f aca="false">SUM(F16:F31)</f>
        <v>150483.5019311</v>
      </c>
      <c r="G32" s="14" t="n">
        <f aca="false">SUM(G16:G31)</f>
        <v>150695.146848064</v>
      </c>
      <c r="H32" s="14" t="n">
        <f aca="false">SUM(H16:H31)</f>
        <v>150892.176933686</v>
      </c>
      <c r="I32" s="14" t="n">
        <f aca="false">SUM(I16:I31)</f>
        <v>151076.113647851</v>
      </c>
      <c r="J32" s="14" t="n">
        <f aca="false">SUM(J16:J31)</f>
        <v>151248.316142792</v>
      </c>
      <c r="K32" s="14" t="n">
        <f aca="false">SUM(K16:K31)</f>
        <v>151409.999810744</v>
      </c>
      <c r="L32" s="14" t="n">
        <f aca="false">SUM(L16:L31)</f>
        <v>151562.252615585</v>
      </c>
      <c r="M32" s="14" t="n">
        <f aca="false">SUM(M16:M31)</f>
        <v>151878.682151845</v>
      </c>
      <c r="N32" s="14" t="n">
        <f aca="false">SUM(N16:N31)</f>
        <v>202090.819328606</v>
      </c>
      <c r="O32" s="14" t="n">
        <f aca="false">SUM(O16:O31)</f>
        <v>202291.253984688</v>
      </c>
      <c r="P32" s="14" t="n">
        <f aca="false">SUM(P16:P31)</f>
        <v>202481.178908182</v>
      </c>
      <c r="Q32" s="14" t="n">
        <f aca="false">SUM(Q16:Q31)</f>
        <v>202661.667174926</v>
      </c>
      <c r="R32" s="14" t="n">
        <f aca="false">SUM(R16:R31)</f>
        <v>203051.514612273</v>
      </c>
      <c r="S32" s="14" t="n">
        <f aca="false">SUM(S16:S31)</f>
        <v>203291.80855954</v>
      </c>
      <c r="T32" s="14" t="n">
        <f aca="false">SUM(T16:T31)</f>
        <v>203520.717290795</v>
      </c>
      <c r="U32" s="14" t="n">
        <f aca="false">SUM(U16:U31)</f>
        <v>203984.339330091</v>
      </c>
      <c r="V32" s="14" t="n">
        <f aca="false">SUM(V16:V31)</f>
        <v>204269.665169718</v>
      </c>
      <c r="W32" s="14" t="n">
        <f aca="false">SUM(W16:W31)</f>
        <v>204542.36706721</v>
      </c>
      <c r="X32" s="14" t="n">
        <f aca="false">SUM(X16:X31)</f>
        <v>205075.778459158</v>
      </c>
      <c r="Y32" s="14" t="n">
        <f aca="false">SUM(Y16:Y31)</f>
        <v>205402.731150854</v>
      </c>
    </row>
    <row r="33" customFormat="false" ht="15" hidden="false" customHeight="false" outlineLevel="0" collapsed="false">
      <c r="A33" s="3" t="s">
        <v>258</v>
      </c>
      <c r="B33" s="4"/>
      <c r="C33" s="4"/>
      <c r="D33" s="4"/>
      <c r="E33" s="4"/>
      <c r="F33" s="4"/>
      <c r="G33" s="4"/>
      <c r="H33" s="4"/>
      <c r="I33" s="4"/>
      <c r="J33" s="4"/>
      <c r="K33" s="4"/>
      <c r="L33" s="4"/>
      <c r="M33" s="4"/>
      <c r="N33" s="4"/>
      <c r="O33" s="4"/>
      <c r="P33" s="4"/>
      <c r="Q33" s="4"/>
      <c r="R33" s="4"/>
      <c r="S33" s="4"/>
      <c r="T33" s="4"/>
      <c r="U33" s="4"/>
      <c r="V33" s="4"/>
      <c r="W33" s="4"/>
      <c r="X33" s="4"/>
      <c r="Y33" s="4"/>
    </row>
    <row r="34" customFormat="false" ht="22.35" hidden="false" customHeight="false" outlineLevel="0" collapsed="false">
      <c r="A34" s="17" t="s">
        <v>259</v>
      </c>
      <c r="B34" s="7" t="n">
        <f aca="false">SUM($B$12:B12)</f>
        <v>0</v>
      </c>
      <c r="C34" s="7" t="n">
        <f aca="false">SUM($B$12:C12)</f>
        <v>0</v>
      </c>
      <c r="D34" s="7" t="n">
        <f aca="false">SUM($B$12:D12)</f>
        <v>0</v>
      </c>
      <c r="E34" s="7" t="n">
        <f aca="false">SUM($E$12:E12)</f>
        <v>4443.925</v>
      </c>
      <c r="F34" s="7" t="n">
        <f aca="false">SUM($E$12:F12)</f>
        <v>12954.9899255556</v>
      </c>
      <c r="G34" s="7" t="n">
        <f aca="false">SUM($E$12:G12)</f>
        <v>25196.012693865</v>
      </c>
      <c r="H34" s="7" t="n">
        <f aca="false">SUM($E$12:H12)</f>
        <v>40865.0969631308</v>
      </c>
      <c r="I34" s="7" t="n">
        <f aca="false">SUM($E$12:I12)</f>
        <v>59691.8159758344</v>
      </c>
      <c r="J34" s="7" t="n">
        <f aca="false">SUM($E$12:J12)</f>
        <v>81433.8366714894</v>
      </c>
      <c r="K34" s="7" t="n">
        <f aca="false">SUM($E$12:K12)</f>
        <v>105873.930948789</v>
      </c>
      <c r="L34" s="7" t="n">
        <f aca="false">SUM($E$12:L12)</f>
        <v>132817.327648786</v>
      </c>
      <c r="M34" s="7" t="n">
        <f aca="false">SUM($E$12:M12)</f>
        <v>163547.495203067</v>
      </c>
      <c r="N34" s="7" t="n">
        <f aca="false">SUM($E$12:N12)</f>
        <v>197795.625172256</v>
      </c>
      <c r="O34" s="7" t="n">
        <f aca="false">SUM($E$12:O12)</f>
        <v>235320.256129847</v>
      </c>
      <c r="P34" s="7" t="n">
        <f aca="false">SUM($E$12:P12)</f>
        <v>275904.4827625</v>
      </c>
      <c r="Q34" s="7" t="n">
        <f aca="false">SUM($E$12:Q12)</f>
        <v>319353.473758531</v>
      </c>
      <c r="R34" s="7" t="n">
        <f aca="false">SUM($E$12:R12)</f>
        <v>366935.907241339</v>
      </c>
      <c r="S34" s="7" t="n">
        <f aca="false">SUM($E$12:S12)</f>
        <v>418390.745247019</v>
      </c>
      <c r="T34" s="7" t="n">
        <f aca="false">SUM($E$12:T12)</f>
        <v>473483.117605858</v>
      </c>
      <c r="U34" s="7" t="n">
        <f aca="false">SUM($E$12:U12)</f>
        <v>533436.721906808</v>
      </c>
      <c r="V34" s="7" t="n">
        <f aca="false">SUM($E$12:V12)</f>
        <v>597962.522799661</v>
      </c>
      <c r="W34" s="7" t="n">
        <f aca="false">SUM($E$12:W12)</f>
        <v>666800.164523295</v>
      </c>
      <c r="X34" s="7" t="n">
        <f aca="false">SUM($E$12:X12)</f>
        <v>741141.51031708</v>
      </c>
      <c r="Y34" s="7" t="n">
        <f aca="false">SUM($E$12:Y12)</f>
        <v>820681.37026095</v>
      </c>
      <c r="Z34" s="8" t="s">
        <v>260</v>
      </c>
    </row>
    <row r="35" customFormat="false" ht="22.35" hidden="false" customHeight="false" outlineLevel="0" collapsed="false">
      <c r="A35" s="17" t="s">
        <v>261</v>
      </c>
      <c r="B35" s="7" t="n">
        <f aca="false">IF(B34&gt;Допущения!$D$47,B12*Допущения!$D$48,0)</f>
        <v>0</v>
      </c>
      <c r="C35" s="7" t="n">
        <f aca="false">IF(C34&gt;Допущения!$D$47,C12*Допущения!$D$48,0)</f>
        <v>0</v>
      </c>
      <c r="D35" s="7" t="n">
        <f aca="false">IF(D34&gt;Допущения!$D$47,D12*Допущения!$D$48,0)</f>
        <v>0</v>
      </c>
      <c r="E35" s="7" t="n">
        <f aca="false">IF(E34&gt;Допущения!$D$47,E12*Допущения!$D$48,0)</f>
        <v>0</v>
      </c>
      <c r="F35" s="7" t="n">
        <f aca="false">IF(F34&gt;Допущения!$D$47,F12*Допущения!$D$48,0)</f>
        <v>0</v>
      </c>
      <c r="G35" s="7" t="n">
        <f aca="false">IF(G34&gt;Допущения!$D$47,G12*Допущения!$D$48,0)</f>
        <v>0</v>
      </c>
      <c r="H35" s="7" t="n">
        <f aca="false">IF(H34&gt;Допущения!$D$47,H12*Допущения!$D$48,0)</f>
        <v>0</v>
      </c>
      <c r="I35" s="7" t="n">
        <f aca="false">IF(I34&gt;Допущения!$D$47,I12*Допущения!$D$48,0)</f>
        <v>0</v>
      </c>
      <c r="J35" s="7" t="n">
        <f aca="false">IF(J34&gt;Допущения!$D$47,J12*Допущения!$D$48,0)</f>
        <v>0</v>
      </c>
      <c r="K35" s="7" t="n">
        <f aca="false">IF(K34&gt;Допущения!$D$47,K12*Допущения!$D$48,0)</f>
        <v>0</v>
      </c>
      <c r="L35" s="7" t="n">
        <f aca="false">IF(L34&gt;Допущения!$D$47,L12*Допущения!$D$48,0)</f>
        <v>0</v>
      </c>
      <c r="M35" s="7" t="n">
        <f aca="false">IF(M34&gt;Допущения!$D$47,M12*Допущения!$D$48,0)</f>
        <v>0</v>
      </c>
      <c r="N35" s="7" t="n">
        <f aca="false">IF(N34&gt;Допущения!$D$47,N12*Допущения!$D$48,0)</f>
        <v>0</v>
      </c>
      <c r="O35" s="7" t="n">
        <f aca="false">IF(O34&gt;Допущения!$D$47,O12*Допущения!$D$48,0)</f>
        <v>0</v>
      </c>
      <c r="P35" s="7" t="n">
        <f aca="false">IF(P34&gt;Допущения!$D$47,P12*Допущения!$D$48,0)</f>
        <v>0</v>
      </c>
      <c r="Q35" s="7" t="n">
        <f aca="false">IF(Q34&gt;Допущения!$D$47,Q12*Допущения!$D$48,0)</f>
        <v>0</v>
      </c>
      <c r="R35" s="7" t="n">
        <f aca="false">IF(R34&gt;Допущения!$D$47,R12*Допущения!$D$48,0)</f>
        <v>0</v>
      </c>
      <c r="S35" s="7" t="n">
        <f aca="false">IF(S34&gt;Допущения!$D$47,S12*Допущения!$D$48,0)</f>
        <v>0</v>
      </c>
      <c r="T35" s="7" t="n">
        <f aca="false">IF(T34&gt;Допущения!$D$47,T12*Допущения!$D$48,0)</f>
        <v>0</v>
      </c>
      <c r="U35" s="7" t="n">
        <f aca="false">IF(U34&gt;Допущения!$D$47,U12*Допущения!$D$48,0)</f>
        <v>0</v>
      </c>
      <c r="V35" s="7" t="n">
        <f aca="false">IF(V34&gt;Допущения!$D$47,V12*Допущения!$D$48,0)</f>
        <v>0</v>
      </c>
      <c r="W35" s="7" t="n">
        <f aca="false">IF(W34&gt;Допущения!$D$47,W12*Допущения!$D$48,0)</f>
        <v>0</v>
      </c>
      <c r="X35" s="7" t="n">
        <f aca="false">IF(X34&gt;Допущения!$D$47,X12*Допущения!$D$48,0)</f>
        <v>0</v>
      </c>
      <c r="Y35" s="7" t="n">
        <f aca="false">IF(Y34&gt;Допущения!$D$47,Y12*Допущения!$D$48,0)</f>
        <v>0</v>
      </c>
      <c r="Z35" s="8" t="s">
        <v>262</v>
      </c>
    </row>
    <row r="36" customFormat="false" ht="15" hidden="false" customHeight="false" outlineLevel="0" collapsed="false">
      <c r="A36" s="17" t="s">
        <v>263</v>
      </c>
      <c r="B36" s="7" t="n">
        <f aca="false">B12-B32-B35</f>
        <v>-99954.5833333333</v>
      </c>
      <c r="C36" s="7" t="n">
        <f aca="false">C12-C32-C35</f>
        <v>-99954.5833333333</v>
      </c>
      <c r="D36" s="7" t="n">
        <f aca="false">D12-D32-D35</f>
        <v>-99954.5833333333</v>
      </c>
      <c r="E36" s="7" t="n">
        <f aca="false">E12-E32-E35</f>
        <v>-145811.612333333</v>
      </c>
      <c r="F36" s="7" t="n">
        <f aca="false">F12-F32-F35</f>
        <v>-141972.437005544</v>
      </c>
      <c r="G36" s="7" t="n">
        <f aca="false">G12-G32-G35</f>
        <v>-138454.124079754</v>
      </c>
      <c r="H36" s="7" t="n">
        <f aca="false">H12-H32-H35</f>
        <v>-135223.09266442</v>
      </c>
      <c r="I36" s="7" t="n">
        <f aca="false">I12-I32-I35</f>
        <v>-132249.394635148</v>
      </c>
      <c r="J36" s="7" t="n">
        <f aca="false">J12-J32-J35</f>
        <v>-129506.295447137</v>
      </c>
      <c r="K36" s="7" t="n">
        <f aca="false">K12-K32-K35</f>
        <v>-126969.905533444</v>
      </c>
      <c r="L36" s="7" t="n">
        <f aca="false">L12-L32-L35</f>
        <v>-124618.855915589</v>
      </c>
      <c r="M36" s="7" t="n">
        <f aca="false">M12-M32-M35</f>
        <v>-121148.514597564</v>
      </c>
      <c r="N36" s="7" t="n">
        <f aca="false">N12-N32-N35</f>
        <v>-167842.689359417</v>
      </c>
      <c r="O36" s="7" t="n">
        <f aca="false">O12-O32-O35</f>
        <v>-164766.623027097</v>
      </c>
      <c r="P36" s="7" t="n">
        <f aca="false">P12-P32-P35</f>
        <v>-161896.952275529</v>
      </c>
      <c r="Q36" s="7" t="n">
        <f aca="false">Q12-Q32-Q35</f>
        <v>-159212.676178894</v>
      </c>
      <c r="R36" s="7" t="n">
        <f aca="false">R12-R32-R35</f>
        <v>-155469.081129465</v>
      </c>
      <c r="S36" s="7" t="n">
        <f aca="false">S12-S32-S35</f>
        <v>-151836.970553861</v>
      </c>
      <c r="T36" s="7" t="n">
        <f aca="false">T12-T32-T35</f>
        <v>-148428.344931956</v>
      </c>
      <c r="U36" s="7" t="n">
        <f aca="false">U12-U32-U35</f>
        <v>-144030.735029142</v>
      </c>
      <c r="V36" s="7" t="n">
        <f aca="false">V12-V32-V35</f>
        <v>-139743.864276865</v>
      </c>
      <c r="W36" s="7" t="n">
        <f aca="false">W12-W32-W35</f>
        <v>-135704.725343576</v>
      </c>
      <c r="X36" s="7" t="n">
        <f aca="false">X12-X32-X35</f>
        <v>-130734.432665373</v>
      </c>
      <c r="Y36" s="7" t="n">
        <f aca="false">Y12-Y32-Y35</f>
        <v>-125862.871206984</v>
      </c>
    </row>
    <row r="37" customFormat="false" ht="32.8" hidden="false" customHeight="false" outlineLevel="0" collapsed="false">
      <c r="A37" s="17" t="s">
        <v>264</v>
      </c>
      <c r="B37" s="7" t="n">
        <f aca="false">MAX(B36*Допущения!$D$45,B12*Допущения!$D$46)</f>
        <v>0</v>
      </c>
      <c r="C37" s="7" t="n">
        <f aca="false">MAX(C36*Допущения!$D$45,C12*Допущения!$D$46)</f>
        <v>0</v>
      </c>
      <c r="D37" s="7" t="n">
        <f aca="false">MAX(D36*Допущения!$D$45,D12*Допущения!$D$46)</f>
        <v>0</v>
      </c>
      <c r="E37" s="7" t="n">
        <f aca="false">MAX(E36*Допущения!$D$45,E12*Допущения!$D$46)</f>
        <v>133.31775</v>
      </c>
      <c r="F37" s="7" t="n">
        <f aca="false">MAX(F36*Допущения!$D$45,F12*Допущения!$D$46)</f>
        <v>255.331947766667</v>
      </c>
      <c r="G37" s="7" t="n">
        <f aca="false">MAX(G36*Допущения!$D$45,G12*Допущения!$D$46)</f>
        <v>367.230683049283</v>
      </c>
      <c r="H37" s="7" t="n">
        <f aca="false">MAX(H36*Допущения!$D$45,H12*Допущения!$D$46)</f>
        <v>470.072528077974</v>
      </c>
      <c r="I37" s="7" t="n">
        <f aca="false">MAX(I36*Допущения!$D$45,I12*Допущения!$D$46)</f>
        <v>564.801570381108</v>
      </c>
      <c r="J37" s="7" t="n">
        <f aca="false">MAX(J36*Допущения!$D$45,J12*Допущения!$D$46)</f>
        <v>652.26062086965</v>
      </c>
      <c r="K37" s="7" t="n">
        <f aca="false">MAX(K36*Допущения!$D$45,K12*Допущения!$D$46)</f>
        <v>733.202828319</v>
      </c>
      <c r="L37" s="7" t="n">
        <f aca="false">MAX(L36*Допущения!$D$45,L12*Допущения!$D$46)</f>
        <v>808.301900999892</v>
      </c>
      <c r="M37" s="7" t="n">
        <f aca="false">MAX(M36*Допущения!$D$45,M12*Допущения!$D$46)</f>
        <v>921.905026628442</v>
      </c>
      <c r="N37" s="7" t="n">
        <f aca="false">MAX(N36*Допущения!$D$45,N12*Допущения!$D$46)</f>
        <v>1027.44389907567</v>
      </c>
      <c r="O37" s="7" t="n">
        <f aca="false">MAX(O36*Допущения!$D$45,O12*Допущения!$D$46)</f>
        <v>1125.73892872771</v>
      </c>
      <c r="P37" s="7" t="n">
        <f aca="false">MAX(P36*Допущения!$D$45,P12*Допущения!$D$46)</f>
        <v>1217.5267989796</v>
      </c>
      <c r="Q37" s="7" t="n">
        <f aca="false">MAX(Q36*Допущения!$D$45,Q12*Допущения!$D$46)</f>
        <v>1303.46972988094</v>
      </c>
      <c r="R37" s="7" t="n">
        <f aca="false">MAX(R36*Допущения!$D$45,R12*Допущения!$D$46)</f>
        <v>1427.47300448424</v>
      </c>
      <c r="S37" s="7" t="n">
        <f aca="false">MAX(S36*Допущения!$D$45,S12*Допущения!$D$46)</f>
        <v>1543.64514017039</v>
      </c>
      <c r="T37" s="7" t="n">
        <f aca="false">MAX(T36*Допущения!$D$45,T12*Допущения!$D$46)</f>
        <v>1652.77117076518</v>
      </c>
      <c r="U37" s="7" t="n">
        <f aca="false">MAX(U36*Допущения!$D$45,U12*Допущения!$D$46)</f>
        <v>1798.60812902849</v>
      </c>
      <c r="V37" s="7" t="n">
        <f aca="false">MAX(V36*Допущения!$D$45,V12*Допущения!$D$46)</f>
        <v>1935.77402678559</v>
      </c>
      <c r="W37" s="7" t="n">
        <f aca="false">MAX(W36*Допущения!$D$45,W12*Допущения!$D$46)</f>
        <v>2065.12925170902</v>
      </c>
      <c r="X37" s="7" t="n">
        <f aca="false">MAX(X36*Допущения!$D$45,X12*Допущения!$D$46)</f>
        <v>2230.24037381355</v>
      </c>
      <c r="Y37" s="7" t="n">
        <f aca="false">MAX(Y36*Допущения!$D$45,Y12*Допущения!$D$46)</f>
        <v>2386.1957983161</v>
      </c>
      <c r="Z37" s="8" t="s">
        <v>265</v>
      </c>
    </row>
    <row r="38" customFormat="false" ht="15" hidden="false" customHeight="false" outlineLevel="0" collapsed="false">
      <c r="A38" s="5" t="s">
        <v>266</v>
      </c>
      <c r="B38" s="14" t="n">
        <f aca="false">B35+B37</f>
        <v>0</v>
      </c>
      <c r="C38" s="14" t="n">
        <f aca="false">C35+C37</f>
        <v>0</v>
      </c>
      <c r="D38" s="14" t="n">
        <f aca="false">D35+D37</f>
        <v>0</v>
      </c>
      <c r="E38" s="14" t="n">
        <f aca="false">E35+E37</f>
        <v>133.31775</v>
      </c>
      <c r="F38" s="14" t="n">
        <f aca="false">F35+F37</f>
        <v>255.331947766667</v>
      </c>
      <c r="G38" s="14" t="n">
        <f aca="false">G35+G37</f>
        <v>367.230683049283</v>
      </c>
      <c r="H38" s="14" t="n">
        <f aca="false">H35+H37</f>
        <v>470.072528077974</v>
      </c>
      <c r="I38" s="14" t="n">
        <f aca="false">I35+I37</f>
        <v>564.801570381108</v>
      </c>
      <c r="J38" s="14" t="n">
        <f aca="false">J35+J37</f>
        <v>652.26062086965</v>
      </c>
      <c r="K38" s="14" t="n">
        <f aca="false">K35+K37</f>
        <v>733.202828319</v>
      </c>
      <c r="L38" s="14" t="n">
        <f aca="false">L35+L37</f>
        <v>808.301900999892</v>
      </c>
      <c r="M38" s="14" t="n">
        <f aca="false">M35+M37</f>
        <v>921.905026628442</v>
      </c>
      <c r="N38" s="14" t="n">
        <f aca="false">N35+N37</f>
        <v>1027.44389907567</v>
      </c>
      <c r="O38" s="14" t="n">
        <f aca="false">O35+O37</f>
        <v>1125.73892872771</v>
      </c>
      <c r="P38" s="14" t="n">
        <f aca="false">P35+P37</f>
        <v>1217.5267989796</v>
      </c>
      <c r="Q38" s="14" t="n">
        <f aca="false">Q35+Q37</f>
        <v>1303.46972988094</v>
      </c>
      <c r="R38" s="14" t="n">
        <f aca="false">R35+R37</f>
        <v>1427.47300448424</v>
      </c>
      <c r="S38" s="14" t="n">
        <f aca="false">S35+S37</f>
        <v>1543.64514017039</v>
      </c>
      <c r="T38" s="14" t="n">
        <f aca="false">T35+T37</f>
        <v>1652.77117076518</v>
      </c>
      <c r="U38" s="14" t="n">
        <f aca="false">U35+U37</f>
        <v>1798.60812902849</v>
      </c>
      <c r="V38" s="14" t="n">
        <f aca="false">V35+V37</f>
        <v>1935.77402678559</v>
      </c>
      <c r="W38" s="14" t="n">
        <f aca="false">W35+W37</f>
        <v>2065.12925170902</v>
      </c>
      <c r="X38" s="14" t="n">
        <f aca="false">X35+X37</f>
        <v>2230.24037381355</v>
      </c>
      <c r="Y38" s="14" t="n">
        <f aca="false">Y35+Y37</f>
        <v>2386.1957983161</v>
      </c>
    </row>
    <row r="39" customFormat="false" ht="15" hidden="false" customHeight="false" outlineLevel="0" collapsed="false">
      <c r="A39" s="3" t="s">
        <v>267</v>
      </c>
      <c r="B39" s="4"/>
      <c r="C39" s="4"/>
      <c r="D39" s="4"/>
      <c r="E39" s="4"/>
      <c r="F39" s="4"/>
      <c r="G39" s="4"/>
      <c r="H39" s="4"/>
      <c r="I39" s="4"/>
      <c r="J39" s="4"/>
      <c r="K39" s="4"/>
      <c r="L39" s="4"/>
      <c r="M39" s="4"/>
      <c r="N39" s="4"/>
      <c r="O39" s="4"/>
      <c r="P39" s="4"/>
      <c r="Q39" s="4"/>
      <c r="R39" s="4"/>
      <c r="S39" s="4"/>
      <c r="T39" s="4"/>
      <c r="U39" s="4"/>
      <c r="V39" s="4"/>
      <c r="W39" s="4"/>
      <c r="X39" s="4"/>
      <c r="Y39" s="4"/>
    </row>
    <row r="40" customFormat="false" ht="15" hidden="false" customHeight="false" outlineLevel="0" collapsed="false">
      <c r="A40" s="5" t="s">
        <v>268</v>
      </c>
      <c r="B40" s="14" t="n">
        <f aca="false">B12-B32</f>
        <v>-99954.5833333333</v>
      </c>
      <c r="C40" s="14" t="n">
        <f aca="false">C12-C32</f>
        <v>-99954.5833333333</v>
      </c>
      <c r="D40" s="14" t="n">
        <f aca="false">D12-D32</f>
        <v>-99954.5833333333</v>
      </c>
      <c r="E40" s="14" t="n">
        <f aca="false">E12-E32</f>
        <v>-145811.612333333</v>
      </c>
      <c r="F40" s="14" t="n">
        <f aca="false">F12-F32</f>
        <v>-141972.437005544</v>
      </c>
      <c r="G40" s="14" t="n">
        <f aca="false">G12-G32</f>
        <v>-138454.124079754</v>
      </c>
      <c r="H40" s="14" t="n">
        <f aca="false">H12-H32</f>
        <v>-135223.09266442</v>
      </c>
      <c r="I40" s="14" t="n">
        <f aca="false">I12-I32</f>
        <v>-132249.394635148</v>
      </c>
      <c r="J40" s="14" t="n">
        <f aca="false">J12-J32</f>
        <v>-129506.295447137</v>
      </c>
      <c r="K40" s="14" t="n">
        <f aca="false">K12-K32</f>
        <v>-126969.905533444</v>
      </c>
      <c r="L40" s="14" t="n">
        <f aca="false">L12-L32</f>
        <v>-124618.855915589</v>
      </c>
      <c r="M40" s="14" t="n">
        <f aca="false">M12-M32</f>
        <v>-121148.514597564</v>
      </c>
      <c r="N40" s="14" t="n">
        <f aca="false">N12-N32</f>
        <v>-167842.689359417</v>
      </c>
      <c r="O40" s="14" t="n">
        <f aca="false">O12-O32</f>
        <v>-164766.623027097</v>
      </c>
      <c r="P40" s="14" t="n">
        <f aca="false">P12-P32</f>
        <v>-161896.952275529</v>
      </c>
      <c r="Q40" s="14" t="n">
        <f aca="false">Q12-Q32</f>
        <v>-159212.676178894</v>
      </c>
      <c r="R40" s="14" t="n">
        <f aca="false">R12-R32</f>
        <v>-155469.081129465</v>
      </c>
      <c r="S40" s="14" t="n">
        <f aca="false">S12-S32</f>
        <v>-151836.970553861</v>
      </c>
      <c r="T40" s="14" t="n">
        <f aca="false">T12-T32</f>
        <v>-148428.344931956</v>
      </c>
      <c r="U40" s="14" t="n">
        <f aca="false">U12-U32</f>
        <v>-144030.735029142</v>
      </c>
      <c r="V40" s="14" t="n">
        <f aca="false">V12-V32</f>
        <v>-139743.864276865</v>
      </c>
      <c r="W40" s="14" t="n">
        <f aca="false">W12-W32</f>
        <v>-135704.725343576</v>
      </c>
      <c r="X40" s="14" t="n">
        <f aca="false">X12-X32</f>
        <v>-130734.432665373</v>
      </c>
      <c r="Y40" s="14" t="n">
        <f aca="false">Y12-Y32</f>
        <v>-125862.871206984</v>
      </c>
    </row>
    <row r="41" customFormat="false" ht="15" hidden="false" customHeight="false" outlineLevel="0" collapsed="false">
      <c r="A41" s="5" t="s">
        <v>269</v>
      </c>
      <c r="B41" s="14" t="n">
        <f aca="false">B40-B38</f>
        <v>-99954.5833333333</v>
      </c>
      <c r="C41" s="14" t="n">
        <f aca="false">C40-C38</f>
        <v>-99954.5833333333</v>
      </c>
      <c r="D41" s="14" t="n">
        <f aca="false">D40-D38</f>
        <v>-99954.5833333333</v>
      </c>
      <c r="E41" s="14" t="n">
        <f aca="false">E40-E38</f>
        <v>-145944.930083333</v>
      </c>
      <c r="F41" s="14" t="n">
        <f aca="false">F40-F38</f>
        <v>-142227.768953311</v>
      </c>
      <c r="G41" s="14" t="n">
        <f aca="false">G40-G38</f>
        <v>-138821.354762804</v>
      </c>
      <c r="H41" s="14" t="n">
        <f aca="false">H40-H38</f>
        <v>-135693.165192498</v>
      </c>
      <c r="I41" s="14" t="n">
        <f aca="false">I40-I38</f>
        <v>-132814.196205529</v>
      </c>
      <c r="J41" s="14" t="n">
        <f aca="false">J40-J38</f>
        <v>-130158.556068006</v>
      </c>
      <c r="K41" s="14" t="n">
        <f aca="false">K40-K38</f>
        <v>-127703.108361763</v>
      </c>
      <c r="L41" s="14" t="n">
        <f aca="false">L40-L38</f>
        <v>-125427.157816588</v>
      </c>
      <c r="M41" s="14" t="n">
        <f aca="false">M40-M38</f>
        <v>-122070.419624192</v>
      </c>
      <c r="N41" s="14" t="n">
        <f aca="false">N40-N38</f>
        <v>-168870.133258492</v>
      </c>
      <c r="O41" s="14" t="n">
        <f aca="false">O40-O38</f>
        <v>-165892.361955825</v>
      </c>
      <c r="P41" s="14" t="n">
        <f aca="false">P40-P38</f>
        <v>-163114.479074508</v>
      </c>
      <c r="Q41" s="14" t="n">
        <f aca="false">Q40-Q38</f>
        <v>-160516.145908775</v>
      </c>
      <c r="R41" s="14" t="n">
        <f aca="false">R40-R38</f>
        <v>-156896.554133949</v>
      </c>
      <c r="S41" s="14" t="n">
        <f aca="false">S40-S38</f>
        <v>-153380.615694031</v>
      </c>
      <c r="T41" s="14" t="n">
        <f aca="false">T40-T38</f>
        <v>-150081.116102721</v>
      </c>
      <c r="U41" s="14" t="n">
        <f aca="false">U40-U38</f>
        <v>-145829.34315817</v>
      </c>
      <c r="V41" s="14" t="n">
        <f aca="false">V40-V38</f>
        <v>-141679.63830365</v>
      </c>
      <c r="W41" s="14" t="n">
        <f aca="false">W40-W38</f>
        <v>-137769.854595285</v>
      </c>
      <c r="X41" s="14" t="n">
        <f aca="false">X40-X38</f>
        <v>-132964.673039187</v>
      </c>
      <c r="Y41" s="14" t="n">
        <f aca="false">Y40-Y38</f>
        <v>-128249.067005301</v>
      </c>
    </row>
    <row r="42" customFormat="false" ht="15" hidden="false" customHeight="false" outlineLevel="0" collapsed="false">
      <c r="A42" s="5" t="s">
        <v>270</v>
      </c>
      <c r="B42" s="14" t="n">
        <f aca="false">B14-B32-B38</f>
        <v>-99954.5833333333</v>
      </c>
      <c r="C42" s="14" t="n">
        <f aca="false">C14-C32-C38</f>
        <v>-99954.5833333333</v>
      </c>
      <c r="D42" s="14" t="n">
        <f aca="false">D14-D32-D38</f>
        <v>-99954.5833333333</v>
      </c>
      <c r="E42" s="14" t="n">
        <f aca="false">E14-E32-E38</f>
        <v>-144510.805083333</v>
      </c>
      <c r="F42" s="14" t="n">
        <f aca="false">F14-F32-F38</f>
        <v>-140315.602286644</v>
      </c>
      <c r="G42" s="14" t="n">
        <f aca="false">G14-G32-G38</f>
        <v>-136431.14642947</v>
      </c>
      <c r="H42" s="14" t="n">
        <f aca="false">H14-H32-H38</f>
        <v>-132824.915192498</v>
      </c>
      <c r="I42" s="14" t="n">
        <f aca="false">I14-I32-I38</f>
        <v>-129467.904538862</v>
      </c>
      <c r="J42" s="14" t="n">
        <f aca="false">J14-J32-J38</f>
        <v>-126334.222734673</v>
      </c>
      <c r="K42" s="14" t="n">
        <f aca="false">K14-K32-K38</f>
        <v>-123400.733361763</v>
      </c>
      <c r="L42" s="14" t="n">
        <f aca="false">L14-L32-L38</f>
        <v>-120646.741149922</v>
      </c>
      <c r="M42" s="14" t="n">
        <f aca="false">M14-M32-M38</f>
        <v>-115059.141846414</v>
      </c>
      <c r="N42" s="14" t="n">
        <f aca="false">N14-N32-N38</f>
        <v>-161221.466591826</v>
      </c>
      <c r="O42" s="14" t="n">
        <f aca="false">O14-O32-O38</f>
        <v>-157606.306400269</v>
      </c>
      <c r="P42" s="14" t="n">
        <f aca="false">P14-P32-P38</f>
        <v>-154191.034630064</v>
      </c>
      <c r="Q42" s="14" t="n">
        <f aca="false">Q14-Q32-Q38</f>
        <v>-150955.312575442</v>
      </c>
      <c r="R42" s="14" t="n">
        <f aca="false">R14-R32-R38</f>
        <v>-144148.776356171</v>
      </c>
      <c r="S42" s="14" t="n">
        <f aca="false">S14-S32-S38</f>
        <v>-139836.101805142</v>
      </c>
      <c r="T42" s="14" t="n">
        <f aca="false">T14-T32-T38</f>
        <v>-135739.866102721</v>
      </c>
      <c r="U42" s="14" t="n">
        <f aca="false">U14-U32-U38</f>
        <v>-127663.759824837</v>
      </c>
      <c r="V42" s="14" t="n">
        <f aca="false">V14-V32-V38</f>
        <v>-122557.971636984</v>
      </c>
      <c r="W42" s="14" t="n">
        <f aca="false">W14-W32-W38</f>
        <v>-117692.104595285</v>
      </c>
      <c r="X42" s="14" t="n">
        <f aca="false">X14-X32-X38</f>
        <v>-108425.200816965</v>
      </c>
      <c r="Y42" s="14" t="n">
        <f aca="false">Y14-Y32-Y38</f>
        <v>-102594.164227523</v>
      </c>
    </row>
    <row r="43" customFormat="false" ht="15" hidden="false" customHeight="false" outlineLevel="0" collapsed="false">
      <c r="A43" s="5" t="s">
        <v>271</v>
      </c>
      <c r="B43" s="14" t="n">
        <f aca="false">Допущения!$D$55+B42</f>
        <v>400045.416666667</v>
      </c>
      <c r="C43" s="14" t="n">
        <f aca="false">B43+C42</f>
        <v>300090.833333333</v>
      </c>
      <c r="D43" s="14" t="n">
        <f aca="false">C43+D42</f>
        <v>200136.25</v>
      </c>
      <c r="E43" s="14" t="n">
        <f aca="false">D43+E42</f>
        <v>55625.4449166667</v>
      </c>
      <c r="F43" s="14" t="n">
        <f aca="false">E43+F42</f>
        <v>-84690.1573699777</v>
      </c>
      <c r="G43" s="14" t="n">
        <f aca="false">F43+G42</f>
        <v>-221121.303799448</v>
      </c>
      <c r="H43" s="14" t="n">
        <f aca="false">G43+H42</f>
        <v>-353946.218991946</v>
      </c>
      <c r="I43" s="14" t="n">
        <f aca="false">H43+I42</f>
        <v>-483414.123530808</v>
      </c>
      <c r="J43" s="14" t="n">
        <f aca="false">I43+J42</f>
        <v>-609748.346265481</v>
      </c>
      <c r="K43" s="14" t="n">
        <f aca="false">J43+K42</f>
        <v>-733149.079627244</v>
      </c>
      <c r="L43" s="14" t="n">
        <f aca="false">K43+L42</f>
        <v>-853795.820777166</v>
      </c>
      <c r="M43" s="14" t="n">
        <f aca="false">L43+M42</f>
        <v>-968854.962623581</v>
      </c>
      <c r="N43" s="14" t="n">
        <f aca="false">M43+N42</f>
        <v>-1130076.42921541</v>
      </c>
      <c r="O43" s="14" t="n">
        <f aca="false">N43+O42</f>
        <v>-1287682.73561568</v>
      </c>
      <c r="P43" s="14" t="n">
        <f aca="false">O43+P42</f>
        <v>-1441873.77024574</v>
      </c>
      <c r="Q43" s="14" t="n">
        <f aca="false">P43+Q42</f>
        <v>-1592829.08282118</v>
      </c>
      <c r="R43" s="14" t="n">
        <f aca="false">Q43+R42</f>
        <v>-1736977.85917735</v>
      </c>
      <c r="S43" s="14" t="n">
        <f aca="false">R43+S42</f>
        <v>-1876813.9609825</v>
      </c>
      <c r="T43" s="14" t="n">
        <f aca="false">S43+T42</f>
        <v>-2012553.82708522</v>
      </c>
      <c r="U43" s="14" t="n">
        <f aca="false">T43+U42</f>
        <v>-2140217.58691005</v>
      </c>
      <c r="V43" s="14" t="n">
        <f aca="false">U43+V42</f>
        <v>-2262775.55854704</v>
      </c>
      <c r="W43" s="14" t="n">
        <f aca="false">V43+W42</f>
        <v>-2380467.66314232</v>
      </c>
      <c r="X43" s="14" t="n">
        <f aca="false">W43+X42</f>
        <v>-2488892.86395929</v>
      </c>
      <c r="Y43" s="14" t="n">
        <f aca="false">X43+Y42</f>
        <v>-2591487.02818681</v>
      </c>
      <c r="Z43" s="8" t="s">
        <v>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6"/>
  </cols>
  <sheetData>
    <row r="1" customFormat="false" ht="17.35" hidden="false" customHeight="false" outlineLevel="0" collapsed="false">
      <c r="A1" s="1" t="s">
        <v>277</v>
      </c>
    </row>
    <row r="2" customFormat="false" ht="15" hidden="false" customHeight="false" outlineLevel="0" collapsed="false">
      <c r="A2" s="2" t="s">
        <v>278</v>
      </c>
    </row>
    <row r="4" customFormat="false" ht="31.5" hidden="false" customHeight="true" outlineLevel="0" collapsed="false">
      <c r="A4" s="29" t="s">
        <v>279</v>
      </c>
      <c r="B4" s="29"/>
      <c r="C4" s="29"/>
    </row>
    <row r="5" customFormat="false" ht="48" hidden="false" customHeight="true" outlineLevel="0" collapsed="false">
      <c r="A5" s="17" t="s">
        <v>46</v>
      </c>
      <c r="B5" s="18" t="s">
        <v>280</v>
      </c>
      <c r="C5" s="18"/>
    </row>
    <row r="6" customFormat="false" ht="48" hidden="false" customHeight="true" outlineLevel="0" collapsed="false">
      <c r="A6" s="17" t="s">
        <v>46</v>
      </c>
      <c r="B6" s="18" t="s">
        <v>281</v>
      </c>
      <c r="C6" s="18"/>
    </row>
    <row r="7" customFormat="false" ht="48" hidden="false" customHeight="true" outlineLevel="0" collapsed="false">
      <c r="A7" s="17" t="s">
        <v>46</v>
      </c>
      <c r="B7" s="18" t="s">
        <v>282</v>
      </c>
      <c r="C7" s="18"/>
    </row>
    <row r="8" customFormat="false" ht="48" hidden="false" customHeight="true" outlineLevel="0" collapsed="false">
      <c r="A8" s="17" t="s">
        <v>46</v>
      </c>
      <c r="B8" s="18" t="s">
        <v>283</v>
      </c>
      <c r="C8" s="18"/>
    </row>
    <row r="9" customFormat="false" ht="48" hidden="false" customHeight="true" outlineLevel="0" collapsed="false">
      <c r="A9" s="17" t="s">
        <v>46</v>
      </c>
      <c r="B9" s="18" t="s">
        <v>284</v>
      </c>
      <c r="C9" s="18"/>
    </row>
    <row r="11" customFormat="false" ht="15" hidden="false" customHeight="false" outlineLevel="0" collapsed="false">
      <c r="A11" s="16" t="s">
        <v>285</v>
      </c>
    </row>
    <row r="12" customFormat="false" ht="39.75" hidden="false" customHeight="true" outlineLevel="0" collapsed="false">
      <c r="A12" s="17" t="s">
        <v>46</v>
      </c>
      <c r="B12" s="18" t="s">
        <v>286</v>
      </c>
      <c r="C12" s="18"/>
    </row>
    <row r="13" customFormat="false" ht="39.75" hidden="false" customHeight="true" outlineLevel="0" collapsed="false">
      <c r="A13" s="17" t="s">
        <v>46</v>
      </c>
      <c r="B13" s="18" t="s">
        <v>287</v>
      </c>
      <c r="C13" s="18"/>
    </row>
    <row r="14" customFormat="false" ht="39.75" hidden="false" customHeight="true" outlineLevel="0" collapsed="false">
      <c r="A14" s="17" t="s">
        <v>46</v>
      </c>
      <c r="B14" s="18" t="s">
        <v>288</v>
      </c>
      <c r="C14" s="18"/>
    </row>
    <row r="15" customFormat="false" ht="39.75" hidden="false" customHeight="true" outlineLevel="0" collapsed="false">
      <c r="A15" s="17" t="s">
        <v>46</v>
      </c>
      <c r="B15" s="18" t="s">
        <v>289</v>
      </c>
      <c r="C15" s="18"/>
    </row>
    <row r="16" customFormat="false" ht="39.75" hidden="false" customHeight="true" outlineLevel="0" collapsed="false">
      <c r="A16" s="17" t="s">
        <v>46</v>
      </c>
      <c r="B16" s="18" t="s">
        <v>290</v>
      </c>
      <c r="C16" s="18"/>
    </row>
    <row r="18" customFormat="false" ht="15" hidden="false" customHeight="false" outlineLevel="0" collapsed="false">
      <c r="A18" s="16" t="s">
        <v>291</v>
      </c>
    </row>
    <row r="19" customFormat="false" ht="61.5" hidden="false" customHeight="true" outlineLevel="0" collapsed="false">
      <c r="A19" s="18" t="s">
        <v>292</v>
      </c>
      <c r="B19" s="18"/>
      <c r="C19" s="18"/>
    </row>
    <row r="21" customFormat="false" ht="15" hidden="false" customHeight="false" outlineLevel="0" collapsed="false">
      <c r="A21" s="16" t="s">
        <v>293</v>
      </c>
    </row>
    <row r="22" customFormat="false" ht="45.75" hidden="false" customHeight="true" outlineLevel="0" collapsed="false">
      <c r="A22" s="18" t="s">
        <v>294</v>
      </c>
      <c r="B22" s="18"/>
      <c r="C22" s="18"/>
    </row>
    <row r="23" customFormat="false" ht="39.75" hidden="false" customHeight="true" outlineLevel="0" collapsed="false">
      <c r="A23" s="17" t="s">
        <v>46</v>
      </c>
      <c r="B23" s="18" t="s">
        <v>295</v>
      </c>
      <c r="C23" s="18"/>
    </row>
    <row r="24" customFormat="false" ht="39.75" hidden="false" customHeight="true" outlineLevel="0" collapsed="false">
      <c r="A24" s="17" t="s">
        <v>46</v>
      </c>
      <c r="B24" s="18" t="s">
        <v>296</v>
      </c>
      <c r="C24" s="18"/>
    </row>
    <row r="25" customFormat="false" ht="39.75" hidden="false" customHeight="true" outlineLevel="0" collapsed="false">
      <c r="A25" s="17" t="s">
        <v>46</v>
      </c>
      <c r="B25" s="18" t="s">
        <v>297</v>
      </c>
      <c r="C25" s="18"/>
    </row>
    <row r="26" customFormat="false" ht="39.75" hidden="false" customHeight="true" outlineLevel="0" collapsed="false">
      <c r="A26" s="17" t="s">
        <v>46</v>
      </c>
      <c r="B26" s="18" t="s">
        <v>298</v>
      </c>
      <c r="C26" s="18"/>
    </row>
    <row r="28" customFormat="false" ht="15" hidden="false" customHeight="false" outlineLevel="0" collapsed="false">
      <c r="A28" s="16" t="s">
        <v>299</v>
      </c>
    </row>
    <row r="29" customFormat="false" ht="15" hidden="false" customHeight="false" outlineLevel="0" collapsed="false">
      <c r="A29" s="19" t="s">
        <v>3</v>
      </c>
      <c r="B29" s="19" t="s">
        <v>300</v>
      </c>
      <c r="C29" s="19" t="s">
        <v>301</v>
      </c>
    </row>
    <row r="30" customFormat="false" ht="31.5" hidden="false" customHeight="true" outlineLevel="0" collapsed="false">
      <c r="A30" s="17" t="s">
        <v>302</v>
      </c>
      <c r="B30" s="15" t="n">
        <f aca="false">(Допущения!$C$41*9+Допущения!$C$43*12)</f>
        <v>1650000</v>
      </c>
      <c r="C30" s="8" t="s">
        <v>303</v>
      </c>
    </row>
    <row r="31" customFormat="false" ht="31.5" hidden="false" customHeight="true" outlineLevel="0" collapsed="false">
      <c r="A31" s="17" t="s">
        <v>304</v>
      </c>
      <c r="B31" s="15" t="n">
        <f aca="false">(Допущения!$C$41*9+Допущения!$C$43*12)*Допущения!$C$51</f>
        <v>495000</v>
      </c>
      <c r="C31" s="8" t="s">
        <v>305</v>
      </c>
    </row>
    <row r="32" customFormat="false" ht="31.5" hidden="false" customHeight="true" outlineLevel="0" collapsed="false">
      <c r="A32" s="17" t="s">
        <v>306</v>
      </c>
      <c r="B32" s="15" t="n">
        <f aca="false">(Допущения!$C$41*9+Допущения!$C$43*12)*Допущения!$C$51*0.2</f>
        <v>99000</v>
      </c>
      <c r="C32" s="8" t="s">
        <v>307</v>
      </c>
    </row>
    <row r="33" customFormat="false" ht="31.5" hidden="false" customHeight="true" outlineLevel="0" collapsed="false">
      <c r="A33" s="17" t="s">
        <v>308</v>
      </c>
      <c r="B33" s="15" t="n">
        <f aca="false">(Допущения!$C$41*9+Допущения!$C$43*12)*Допущения!$C$51*1.2</f>
        <v>594000</v>
      </c>
      <c r="C33" s="8" t="s">
        <v>309</v>
      </c>
    </row>
    <row r="35" customFormat="false" ht="15" hidden="false" customHeight="false" outlineLevel="0" collapsed="false">
      <c r="A35" s="16" t="s">
        <v>310</v>
      </c>
    </row>
    <row r="36" customFormat="false" ht="15" hidden="false" customHeight="false" outlineLevel="0" collapsed="false">
      <c r="A36" s="5" t="s">
        <v>311</v>
      </c>
    </row>
    <row r="37" customFormat="false" ht="57.75" hidden="false" customHeight="true" outlineLevel="0" collapsed="false">
      <c r="A37" s="18" t="s">
        <v>312</v>
      </c>
      <c r="B37" s="18"/>
      <c r="C37" s="18"/>
    </row>
    <row r="39" customFormat="false" ht="15" hidden="false" customHeight="false" outlineLevel="0" collapsed="false">
      <c r="A39" s="5" t="s">
        <v>313</v>
      </c>
    </row>
    <row r="40" customFormat="false" ht="57.75" hidden="false" customHeight="true" outlineLevel="0" collapsed="false">
      <c r="A40" s="18" t="s">
        <v>314</v>
      </c>
      <c r="B40" s="18"/>
      <c r="C40" s="18"/>
    </row>
    <row r="42" customFormat="false" ht="15" hidden="false" customHeight="false" outlineLevel="0" collapsed="false">
      <c r="A42" s="5" t="s">
        <v>315</v>
      </c>
    </row>
    <row r="43" customFormat="false" ht="57.75" hidden="false" customHeight="true" outlineLevel="0" collapsed="false">
      <c r="A43" s="18" t="s">
        <v>316</v>
      </c>
      <c r="B43" s="18"/>
      <c r="C43" s="18"/>
    </row>
    <row r="45" customFormat="false" ht="15" hidden="false" customHeight="false" outlineLevel="0" collapsed="false">
      <c r="A45" s="5" t="s">
        <v>317</v>
      </c>
    </row>
    <row r="46" customFormat="false" ht="57.75" hidden="false" customHeight="true" outlineLevel="0" collapsed="false">
      <c r="A46" s="18" t="s">
        <v>318</v>
      </c>
      <c r="B46" s="18"/>
      <c r="C46" s="18"/>
    </row>
    <row r="48" customFormat="false" ht="15" hidden="false" customHeight="false" outlineLevel="0" collapsed="false">
      <c r="A48" s="5" t="s">
        <v>319</v>
      </c>
    </row>
    <row r="49" customFormat="false" ht="57.75" hidden="false" customHeight="true" outlineLevel="0" collapsed="false">
      <c r="A49" s="18" t="s">
        <v>320</v>
      </c>
      <c r="B49" s="18"/>
      <c r="C49" s="18"/>
    </row>
    <row r="51" customFormat="false" ht="15" hidden="false" customHeight="false" outlineLevel="0" collapsed="false">
      <c r="A51" s="16" t="s">
        <v>321</v>
      </c>
    </row>
    <row r="52" customFormat="false" ht="15" hidden="false" customHeight="false" outlineLevel="0" collapsed="false">
      <c r="A52" s="5" t="s">
        <v>322</v>
      </c>
    </row>
    <row r="53" customFormat="false" ht="45.75" hidden="false" customHeight="true" outlineLevel="0" collapsed="false">
      <c r="A53" s="18" t="s">
        <v>323</v>
      </c>
      <c r="B53" s="18"/>
      <c r="C53" s="18"/>
    </row>
    <row r="55" customFormat="false" ht="15" hidden="false" customHeight="false" outlineLevel="0" collapsed="false">
      <c r="A55" s="5" t="s">
        <v>324</v>
      </c>
    </row>
    <row r="56" customFormat="false" ht="45.75" hidden="false" customHeight="true" outlineLevel="0" collapsed="false">
      <c r="A56" s="18" t="s">
        <v>325</v>
      </c>
      <c r="B56" s="18"/>
      <c r="C56" s="18"/>
    </row>
    <row r="58" customFormat="false" ht="15" hidden="false" customHeight="false" outlineLevel="0" collapsed="false">
      <c r="A58" s="5" t="s">
        <v>326</v>
      </c>
    </row>
    <row r="59" customFormat="false" ht="45.75" hidden="false" customHeight="true" outlineLevel="0" collapsed="false">
      <c r="A59" s="18" t="s">
        <v>327</v>
      </c>
      <c r="B59" s="18"/>
      <c r="C59" s="18"/>
    </row>
    <row r="61" customFormat="false" ht="15" hidden="false" customHeight="false" outlineLevel="0" collapsed="false">
      <c r="A61" s="5" t="s">
        <v>328</v>
      </c>
    </row>
    <row r="62" customFormat="false" ht="45.75" hidden="false" customHeight="true" outlineLevel="0" collapsed="false">
      <c r="A62" s="18" t="s">
        <v>329</v>
      </c>
      <c r="B62" s="18"/>
      <c r="C62" s="18"/>
    </row>
    <row r="64" customFormat="false" ht="15" hidden="false" customHeight="false" outlineLevel="0" collapsed="false">
      <c r="A64" s="16" t="s">
        <v>330</v>
      </c>
    </row>
    <row r="65" customFormat="false" ht="15" hidden="false" customHeight="false" outlineLevel="0" collapsed="false">
      <c r="A65" s="2" t="s">
        <v>331</v>
      </c>
    </row>
    <row r="66" customFormat="false" ht="15" hidden="false" customHeight="false" outlineLevel="0" collapsed="false">
      <c r="A66" s="2" t="s">
        <v>332</v>
      </c>
    </row>
    <row r="67" customFormat="false" ht="15" hidden="false" customHeight="false" outlineLevel="0" collapsed="false">
      <c r="A67" s="2" t="s">
        <v>333</v>
      </c>
    </row>
    <row r="68" customFormat="false" ht="15" hidden="false" customHeight="false" outlineLevel="0" collapsed="false">
      <c r="A68" s="2" t="s">
        <v>334</v>
      </c>
    </row>
    <row r="69" customFormat="false" ht="15" hidden="false" customHeight="false" outlineLevel="0" collapsed="false">
      <c r="A69" s="2" t="s">
        <v>335</v>
      </c>
    </row>
    <row r="70" customFormat="false" ht="15" hidden="false" customHeight="false" outlineLevel="0" collapsed="false">
      <c r="A70" s="2" t="s">
        <v>336</v>
      </c>
    </row>
    <row r="71" customFormat="false" ht="15" hidden="false" customHeight="false" outlineLevel="0" collapsed="false">
      <c r="A71" s="2" t="s">
        <v>337</v>
      </c>
    </row>
    <row r="72" customFormat="false" ht="15" hidden="false" customHeight="false" outlineLevel="0" collapsed="false">
      <c r="A72" s="2" t="s">
        <v>338</v>
      </c>
    </row>
  </sheetData>
  <mergeCells count="26">
    <mergeCell ref="A4:C4"/>
    <mergeCell ref="B5:C5"/>
    <mergeCell ref="B6:C6"/>
    <mergeCell ref="B7:C7"/>
    <mergeCell ref="B8:C8"/>
    <mergeCell ref="B9:C9"/>
    <mergeCell ref="B12:C12"/>
    <mergeCell ref="B13:C13"/>
    <mergeCell ref="B14:C14"/>
    <mergeCell ref="B15:C15"/>
    <mergeCell ref="B16:C16"/>
    <mergeCell ref="A19:C19"/>
    <mergeCell ref="A22:C22"/>
    <mergeCell ref="B23:C23"/>
    <mergeCell ref="B24:C24"/>
    <mergeCell ref="B25:C25"/>
    <mergeCell ref="B26:C26"/>
    <mergeCell ref="A37:C37"/>
    <mergeCell ref="A40:C40"/>
    <mergeCell ref="A43:C43"/>
    <mergeCell ref="A46:C46"/>
    <mergeCell ref="A49:C49"/>
    <mergeCell ref="A53:C53"/>
    <mergeCell ref="A56:C56"/>
    <mergeCell ref="A59:C59"/>
    <mergeCell ref="A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2026-09-23T09:10:19Z</dcterms:created>
  <dc:creator>openpyxl</dc:creator>
  <dc:description/>
  <dc:language>en-US</dc:language>
  <cp:lastModifiedBy/>
  <dcterms:modified xsi:type="dcterms:W3CDTF">2026-09-23T09:10:19Z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