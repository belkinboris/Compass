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Итоги" sheetId="1" state="visible" r:id="rId3"/>
    <sheet name="Экономика клиента" sheetId="2" state="visible" r:id="rId4"/>
    <sheet name="Допущения" sheetId="3" state="visible" r:id="rId5"/>
    <sheet name="По месяцам" sheetId="4" state="visible" r:id="rId6"/>
    <sheet name="Налоги и риск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<sst xmlns="http://schemas.openxmlformats.org/spreadsheetml/2006/main" count="306" uniqueCount="276">
  <si>
    <t xml:space="preserve">«Компас» — финансовая модель на 24 месяца</t>
  </si>
  <si>
    <t xml:space="preserve">Октябрь 2026 — сентябрь 2028. One — 990 ₽ в месяц, Pro — 49 900 ₽ в год, два новых договора Pro в месяц. ООО на АУСН.</t>
  </si>
  <si>
    <t xml:space="preserve">Главное</t>
  </si>
  <si>
    <t xml:space="preserve">Месяц выхода в прибыль</t>
  </si>
  <si>
    <t xml:space="preserve">Первый месяц с чистой прибылью.</t>
  </si>
  <si>
    <t xml:space="preserve">Месяц, когда кончаются стартовые деньги</t>
  </si>
  <si>
    <t xml:space="preserve">Сколько денег нужно сверх стартовых</t>
  </si>
  <si>
    <t xml:space="preserve">Самая глубокая точка минуса.</t>
  </si>
  <si>
    <t xml:space="preserve">За два года</t>
  </si>
  <si>
    <t xml:space="preserve">Платящих One через 12 месяцев</t>
  </si>
  <si>
    <t xml:space="preserve">Платящих One через 24 месяца</t>
  </si>
  <si>
    <t xml:space="preserve">Договоров Pro через 24 месяца</t>
  </si>
  <si>
    <t xml:space="preserve">Выручка за 24 месяца</t>
  </si>
  <si>
    <t xml:space="preserve">  из неё от Pro</t>
  </si>
  <si>
    <t xml:space="preserve">Расходы за 24 месяца</t>
  </si>
  <si>
    <t xml:space="preserve">Налоги за 24 месяца</t>
  </si>
  <si>
    <t xml:space="preserve">Чистая прибыль за 24 месяца</t>
  </si>
  <si>
    <t xml:space="preserve">Один клиент</t>
  </si>
  <si>
    <t xml:space="preserve">Вклад одного подписчика One в месяц</t>
  </si>
  <si>
    <t xml:space="preserve">Вклад одного договора Pro в месяц</t>
  </si>
  <si>
    <t xml:space="preserve">Один Pro = столько подписчиков One</t>
  </si>
  <si>
    <t xml:space="preserve">LTV ÷ CAC</t>
  </si>
  <si>
    <t xml:space="preserve">Ниже 1 — реклама не окупается.</t>
  </si>
  <si>
    <t xml:space="preserve">Порог: подписчиков One без Pro</t>
  </si>
  <si>
    <t xml:space="preserve">Без разработчика.</t>
  </si>
  <si>
    <t xml:space="preserve">Порог: договоров Pro без One</t>
  </si>
  <si>
    <t xml:space="preserve">Как читать</t>
  </si>
  <si>
    <t xml:space="preserve">•</t>
  </si>
  <si>
    <t xml:space="preserve">Меняйте только жёлтые клетки на листе «Допущения» — всё остальное пересчитается.</t>
  </si>
  <si>
    <t xml:space="preserve">Результат решают три числа: отток подписчиков, темп договоров Pro и зарплата разработчика. Все три — на листе «Допущения».</t>
  </si>
  <si>
    <t xml:space="preserve">Числа с пометкой «уточнить» — оценки, а не счета. Их стоит заменить в первую очередь.</t>
  </si>
  <si>
    <t xml:space="preserve">Лист «Налоги и риски» стоит прочитать целиком: там то, что не видно в числах.</t>
  </si>
  <si>
    <t xml:space="preserve">Экономика одного клиента</t>
  </si>
  <si>
    <t xml:space="preserve">Здесь нет роста — только один подписчик или один договор и деньги вокруг него. Если здесь не сходится, рост не поможет.</t>
  </si>
  <si>
    <t xml:space="preserve">Подписчик One</t>
  </si>
  <si>
    <t xml:space="preserve">Средний платёж в месяц</t>
  </si>
  <si>
    <t xml:space="preserve">Помесячные и годовые вперемешку; годовая засчитывается по 1/12 в месяц.</t>
  </si>
  <si>
    <t xml:space="preserve">минус комиссия за платёж</t>
  </si>
  <si>
    <t xml:space="preserve">минус возвраты</t>
  </si>
  <si>
    <t xml:space="preserve">Только с годовых подписок и только за неиспользованный срок.</t>
  </si>
  <si>
    <t xml:space="preserve">минус ассистент</t>
  </si>
  <si>
    <t xml:space="preserve">Включённые вопросы × измеренная цена вопроса.</t>
  </si>
  <si>
    <t xml:space="preserve">ВКЛАД ОДНОГО ПОДПИСЧИКА В МЕСЯЦ</t>
  </si>
  <si>
    <t xml:space="preserve">Столько он приносит на покрытие постоянных расходов.</t>
  </si>
  <si>
    <t xml:space="preserve">Принесёт за всю жизнь подписки (LTV)</t>
  </si>
  <si>
    <t xml:space="preserve">Вклад в месяц, делённый на отток.</t>
  </si>
  <si>
    <t xml:space="preserve">Стоит привести одного платящего через рекламу (CAC)</t>
  </si>
  <si>
    <t xml:space="preserve">Цена регистрации, делённая на долю тех, кто начинает платить.</t>
  </si>
  <si>
    <t xml:space="preserve">Ниже 1 — реклама сжигает деньги: подписчик приносит меньше, чем стоил. У здоровой подписки 3 и выше.</t>
  </si>
  <si>
    <t xml:space="preserve">Цена регистрации, при которой реклама окупается втрое</t>
  </si>
  <si>
    <t xml:space="preserve">Задача маркетингу одним числом: приводить людей дешевле этого.</t>
  </si>
  <si>
    <t xml:space="preserve">Договор Pro</t>
  </si>
  <si>
    <t xml:space="preserve">Платит в месяц</t>
  </si>
  <si>
    <t xml:space="preserve">Годовой договор, разложенный на месяцы. Деньгами приходит сразу за год.</t>
  </si>
  <si>
    <t xml:space="preserve">минус обслуживание</t>
  </si>
  <si>
    <t xml:space="preserve">ВКЛАД ОДНОГО ДОГОВОРА В МЕСЯЦ</t>
  </si>
  <si>
    <t xml:space="preserve">Pro здесь не рычаг, а второй ручеёк той же ширины: чтобы он решал, нужен поток договоров, а не пара крупных клиентов.</t>
  </si>
  <si>
    <t xml:space="preserve">Порог безубыточности</t>
  </si>
  <si>
    <t xml:space="preserve">Постоянные расходы в месяц</t>
  </si>
  <si>
    <t xml:space="preserve">Всё, что платится независимо от числа клиентов, без разработчика.</t>
  </si>
  <si>
    <t xml:space="preserve">Нужно подписчиков One, если нет Pro</t>
  </si>
  <si>
    <t xml:space="preserve">Нужно договоров Pro, если нет One</t>
  </si>
  <si>
    <t xml:space="preserve">Любая настоящая смесь лежит между этими двумя числами.</t>
  </si>
  <si>
    <t xml:space="preserve">  подписчиков One с разработчиком за 50 тыс ₽</t>
  </si>
  <si>
    <t xml:space="preserve">  подписчиков One с разработчиком за 100 тыс ₽</t>
  </si>
  <si>
    <t xml:space="preserve">Разница с первой строкой — цена разработчика, выраженная в подписчиках.</t>
  </si>
  <si>
    <t xml:space="preserve">Первый месяц с чистой прибылью, из помесячного расчёта.</t>
  </si>
  <si>
    <t xml:space="preserve">Допущения модели</t>
  </si>
  <si>
    <t xml:space="preserve">Жёлтые клетки можно менять — всё остальное в книге считается от них.</t>
  </si>
  <si>
    <t xml:space="preserve">«Ваш счёт» и «ваше решение» — названо вами. «Уточнить» — моя оценка, её надо заменить фактом.</t>
  </si>
  <si>
    <t xml:space="preserve">Тариф One — для человека</t>
  </si>
  <si>
    <t xml:space="preserve">One, ₽ в месяц</t>
  </si>
  <si>
    <t xml:space="preserve">Ваше решение.</t>
  </si>
  <si>
    <t xml:space="preserve">One, ₽ в год</t>
  </si>
  <si>
    <t xml:space="preserve">Десять месяцев по цене двенадцати. Годовая оплата ценна тем, что даёт деньги вперёд.</t>
  </si>
  <si>
    <t xml:space="preserve">Доля годовых подписок к 24-му месяцу</t>
  </si>
  <si>
    <t xml:space="preserve">Растёт от нуля: сначала люди платят помесячно, пока не убедились.</t>
  </si>
  <si>
    <t xml:space="preserve">Отток в месяц</t>
  </si>
  <si>
    <t xml:space="preserve">Сколько платящих уходит каждый месяц. 10% — это около 10 месяцев жизни подписки. Не измерено: проверять с третьего месяца продаж. Самое важное число модели.</t>
  </si>
  <si>
    <t xml:space="preserve">Доля годовых подписок, по которым просят возврат</t>
  </si>
  <si>
    <t xml:space="preserve">Человек вправе отказаться в любой момент и вернуть деньги за неиспользованный срок (ст. 32 закона о защите прав потребителей). С помесячной подписки возвращать нечего, поэтому считаются только годовые: доля отказов × половина срока.</t>
  </si>
  <si>
    <t xml:space="preserve">Откуда берутся подписчики</t>
  </si>
  <si>
    <t xml:space="preserve">Сколько человек в России вообще может это купить</t>
  </si>
  <si>
    <t xml:space="preserve">Ядро ≈3 400: сотрудники 286 консультантов из нашей же базы (по 5 человек), корпоративное развитие 700 покупателей (по 2), фонды и оценщики. Остальное — аналитики, журналисты, преподаватели, студенты, частные инвесторы. Самое зыбкое число модели.</t>
  </si>
  <si>
    <t xml:space="preserve">Какая доля из них может платить</t>
  </si>
  <si>
    <t xml:space="preserve">Верхняя граница: больше платящих, чем столько, модель не допускает.</t>
  </si>
  <si>
    <t xml:space="preserve">Бесплатных регистраций в месяц на старте</t>
  </si>
  <si>
    <t xml:space="preserve">Факт закрытого теста — 16 аккаунтов за 7 недель, по заявке и без продвижения. Без двери на входе берём 25.</t>
  </si>
  <si>
    <t xml:space="preserve">Рост бесплатных регистраций в месяц</t>
  </si>
  <si>
    <t xml:space="preserve">Канал, пересылки, поиск. Рост замедляется по мере того, как рынок заполняется.</t>
  </si>
  <si>
    <t xml:space="preserve">Цена одной регистрации из рекламы, ₽</t>
  </si>
  <si>
    <t xml:space="preserve">Посев в отраслевом канале: 10–50 тыс ₽ за размещение, 20–60 регистраций. Измерить первым же посевом.</t>
  </si>
  <si>
    <t xml:space="preserve">Доля зарегистрировавшихся, которые начинают платить</t>
  </si>
  <si>
    <t xml:space="preserve">Не измерено. Для бесплатной регистрации с платной подпиской обычно 3–10%.</t>
  </si>
  <si>
    <t xml:space="preserve">Через сколько месяцев после регистрации начинают платить</t>
  </si>
  <si>
    <t xml:space="preserve">Человек смотрит, возвращается, ждёт повода.</t>
  </si>
  <si>
    <t xml:space="preserve">Тариф Pro — для команды</t>
  </si>
  <si>
    <t xml:space="preserve">Pro, ₽ в год</t>
  </si>
  <si>
    <t xml:space="preserve">Ваше решение. Рядом на рынке: Контур.Фокус базовый — от 31 тыс ₽ в год, Seldon.Basis — от 54 тыс, СПАРК «Корпоратив» — около 200 тыс.</t>
  </si>
  <si>
    <t xml:space="preserve">Новых Pro в месяц</t>
  </si>
  <si>
    <t xml:space="preserve">Один договор в две недели. Продаж Pro ещё не было — число проверяется первыми разговорами с клиентами, а не расчётом.</t>
  </si>
  <si>
    <t xml:space="preserve">Месяц, когда приходит первый Pro</t>
  </si>
  <si>
    <t xml:space="preserve">Раньше не получится: нужны оферта для юрлиц, счёт и акты.</t>
  </si>
  <si>
    <t xml:space="preserve">Доля Pro, которые не продлевают договор через год</t>
  </si>
  <si>
    <t xml:space="preserve">Каждый пятый.</t>
  </si>
  <si>
    <t xml:space="preserve">Обслуживание одного Pro, ₽ в месяц</t>
  </si>
  <si>
    <t xml:space="preserve">Ассистент для команды из трёх человек (60 вопросов по 1 ₽), выгрузки, ответы на вопросы.</t>
  </si>
  <si>
    <t xml:space="preserve">Ассистент на сайте</t>
  </si>
  <si>
    <t xml:space="preserve">Вопросов в месяц, включённых в One</t>
  </si>
  <si>
    <t xml:space="preserve">Ограничение нужно не ради экономии, а чтобы один человек или скрипт не задал тысячу вопросов за счёт остальных.</t>
  </si>
  <si>
    <t xml:space="preserve">Цена одного вопроса, ₽</t>
  </si>
  <si>
    <t xml:space="preserve">Измерено на 50 вопросах из живой базы: в среднем 1,04 ₽ (обычный вопрос 0,80–1,12 ₽, с поиском в интернете 1,19–1,67 ₽).</t>
  </si>
  <si>
    <t xml:space="preserve">Постоянные расходы, ₽ в месяц — ваши счета</t>
  </si>
  <si>
    <t xml:space="preserve">Хостинг Timeweb</t>
  </si>
  <si>
    <t xml:space="preserve">Ваш счёт. Сервер сайта и база.</t>
  </si>
  <si>
    <t xml:space="preserve">Yandex.Cloud</t>
  </si>
  <si>
    <t xml:space="preserve">Ваш счёт. Облако и ассистент при нынешнем числе пользователей; рост вместе с подписчиками считается отдельно.</t>
  </si>
  <si>
    <t xml:space="preserve">Claude</t>
  </si>
  <si>
    <t xml:space="preserve">Ваш счёт. Инструмент разработки. Ассистент на сайте работает на модели Яндекса, его расход — в строке выше.</t>
  </si>
  <si>
    <t xml:space="preserve">Аренда офиса</t>
  </si>
  <si>
    <t xml:space="preserve">Ваш счёт: 22 900 ₽ в год.</t>
  </si>
  <si>
    <t xml:space="preserve">Постоянные расходы, ₽ в месяц — оценки, уточнить</t>
  </si>
  <si>
    <t xml:space="preserve">API-ФНС</t>
  </si>
  <si>
    <t xml:space="preserve">Финансы компаний. Уточнить по счёту.</t>
  </si>
  <si>
    <t xml:space="preserve">Онлайн-касса</t>
  </si>
  <si>
    <t xml:space="preserve">При оплате от человека нужен чек. Обычно его выбивает платёжный сервис — уточнить в договоре.</t>
  </si>
  <si>
    <t xml:space="preserve">Бухгалтерия</t>
  </si>
  <si>
    <t xml:space="preserve">На АУСН учёт простой: налог считает налоговая по выписке банка. Уточнить у бухгалтера.</t>
  </si>
  <si>
    <t xml:space="preserve">Юрист и патентный поверенный</t>
  </si>
  <si>
    <t xml:space="preserve">Товарный знак, оферта, политика персональных данных. Уточнить.</t>
  </si>
  <si>
    <t xml:space="preserve">Платная реклама</t>
  </si>
  <si>
    <t xml:space="preserve">Небольшой бюджет, чтобы измерить цену регистрации. При нынешних допущениях реклама себя не окупает (см. «Экономика клиента»).</t>
  </si>
  <si>
    <t xml:space="preserve">Прочее</t>
  </si>
  <si>
    <t xml:space="preserve">Связь, сервисы, банк. Уточнить.</t>
  </si>
  <si>
    <t xml:space="preserve">Команда</t>
  </si>
  <si>
    <t xml:space="preserve">Зарплата гендиректора, ₽ в месяц</t>
  </si>
  <si>
    <t xml:space="preserve">Ваше решение: не платим. Взносов за гендиректора на АУСН нет в любом случае.</t>
  </si>
  <si>
    <t xml:space="preserve">Остальная команда на подряде, ₽ в месяц</t>
  </si>
  <si>
    <t xml:space="preserve">Самозанятые и ИП: акт и чек на каждую выплату.</t>
  </si>
  <si>
    <t xml:space="preserve">Первые месяцы без разработчика</t>
  </si>
  <si>
    <t xml:space="preserve">Разработчик, ₽ в месяц — первый этап</t>
  </si>
  <si>
    <t xml:space="preserve">Ваше решение. Подряд с самозанятым или ИП, без взносов (риск — на листе «Налоги и риски»).</t>
  </si>
  <si>
    <t xml:space="preserve">Первый этап — по какой месяц включительно</t>
  </si>
  <si>
    <t xml:space="preserve">Месяцы с 7-го по 12-й.</t>
  </si>
  <si>
    <t xml:space="preserve">Разработчик, ₽ в месяц — с 13-го месяца</t>
  </si>
  <si>
    <t xml:space="preserve">Налоги и платежи</t>
  </si>
  <si>
    <t xml:space="preserve">Ставка АУСН «доходы минус расходы»</t>
  </si>
  <si>
    <t xml:space="preserve">Минимальный налог, % от дохода за месяц</t>
  </si>
  <si>
    <t xml:space="preserve">Платится, если прибыли нет или она мала. На АУСН считается за каждый месяц отдельно.</t>
  </si>
  <si>
    <t xml:space="preserve">Доход в год, до которого нет НДС</t>
  </si>
  <si>
    <t xml:space="preserve">Это и есть предел АУСН: выше него режим уже не работает.</t>
  </si>
  <si>
    <t xml:space="preserve">Ставка НДС выше предела</t>
  </si>
  <si>
    <t xml:space="preserve">За 24 месяца не достигается.</t>
  </si>
  <si>
    <t xml:space="preserve">Взнос на травматизм, ₽ в год</t>
  </si>
  <si>
    <t xml:space="preserve">Единственный обязательный взнос на АУСН, 247 ₽ в месяц.</t>
  </si>
  <si>
    <t xml:space="preserve">Тариф взносов, если подрядчика признают работником</t>
  </si>
  <si>
    <t xml:space="preserve">В расчёте месяцев не участвует — нужен для оценки риска на листе «Налоги и риски».</t>
  </si>
  <si>
    <t xml:space="preserve">Комиссия за приём платежей</t>
  </si>
  <si>
    <t xml:space="preserve">Оплата картой. Через СБП — 0,4–0,7%.</t>
  </si>
  <si>
    <t xml:space="preserve">Старт</t>
  </si>
  <si>
    <t xml:space="preserve">Деньги на старте, ₽</t>
  </si>
  <si>
    <t xml:space="preserve">Уточнить: от этого числа зависит, в каком месяце кончатся деньги.</t>
  </si>
  <si>
    <t xml:space="preserve">Платящих на старте</t>
  </si>
  <si>
    <t xml:space="preserve">Сейчас доступ бесплатный, по заявке.</t>
  </si>
  <si>
    <t xml:space="preserve">Расчёт по месяцам</t>
  </si>
  <si>
    <t xml:space="preserve">Каждая клетка — формула от листа «Допущения».</t>
  </si>
  <si>
    <t xml:space="preserve">Месяц</t>
  </si>
  <si>
    <t xml:space="preserve">окт 2026</t>
  </si>
  <si>
    <t xml:space="preserve">ноя 2026</t>
  </si>
  <si>
    <t xml:space="preserve">дек 2026</t>
  </si>
  <si>
    <t xml:space="preserve">янв 2027</t>
  </si>
  <si>
    <t xml:space="preserve">фев 2027</t>
  </si>
  <si>
    <t xml:space="preserve">мар 2027</t>
  </si>
  <si>
    <t xml:space="preserve">апр 2027</t>
  </si>
  <si>
    <t xml:space="preserve">май 2027</t>
  </si>
  <si>
    <t xml:space="preserve">июн 2027</t>
  </si>
  <si>
    <t xml:space="preserve">июл 2027</t>
  </si>
  <si>
    <t xml:space="preserve">авг 2027</t>
  </si>
  <si>
    <t xml:space="preserve">сен 2027</t>
  </si>
  <si>
    <t xml:space="preserve">окт 2027</t>
  </si>
  <si>
    <t xml:space="preserve">ноя 2027</t>
  </si>
  <si>
    <t xml:space="preserve">дек 2027</t>
  </si>
  <si>
    <t xml:space="preserve">янв 2028</t>
  </si>
  <si>
    <t xml:space="preserve">фев 2028</t>
  </si>
  <si>
    <t xml:space="preserve">мар 2028</t>
  </si>
  <si>
    <t xml:space="preserve">апр 2028</t>
  </si>
  <si>
    <t xml:space="preserve">май 2028</t>
  </si>
  <si>
    <t xml:space="preserve">июн 2028</t>
  </si>
  <si>
    <t xml:space="preserve">июл 2028</t>
  </si>
  <si>
    <t xml:space="preserve">авг 2028</t>
  </si>
  <si>
    <t xml:space="preserve">сен 2028</t>
  </si>
  <si>
    <t xml:space="preserve">Регистрации и подписчики One</t>
  </si>
  <si>
    <t xml:space="preserve">Бесплатных регистраций</t>
  </si>
  <si>
    <t xml:space="preserve">Регистраций из рекламы</t>
  </si>
  <si>
    <t xml:space="preserve">Бюджет рекламы, делённый на цену регистрации.</t>
  </si>
  <si>
    <t xml:space="preserve">Регистраций за месяц</t>
  </si>
  <si>
    <t xml:space="preserve">Рост замедляется по мере заполнения рынка: множитель «какая доля ещё не зарегистрирована».</t>
  </si>
  <si>
    <t xml:space="preserve">Зарегистрировано всего</t>
  </si>
  <si>
    <t xml:space="preserve">Новых платящих</t>
  </si>
  <si>
    <t xml:space="preserve">Регистрация превращается в оплату с задержкой из допущений.</t>
  </si>
  <si>
    <t xml:space="preserve">Платящих на конец месяца</t>
  </si>
  <si>
    <t xml:space="preserve">Годовые подписки не уходят помесячно: их доля растёт и гасит отток.</t>
  </si>
  <si>
    <t xml:space="preserve">Договоры Pro</t>
  </si>
  <si>
    <t xml:space="preserve">Новых Pro</t>
  </si>
  <si>
    <t xml:space="preserve">Pro на конец месяца</t>
  </si>
  <si>
    <t xml:space="preserve">Дробь — это средний поток: за год не продлевает пятая часть.</t>
  </si>
  <si>
    <t xml:space="preserve">Выручка</t>
  </si>
  <si>
    <t xml:space="preserve">Выручка от One</t>
  </si>
  <si>
    <t xml:space="preserve">Годовая подписка засчитывается по 1/12 в месяц.</t>
  </si>
  <si>
    <t xml:space="preserve">Выручка от Pro</t>
  </si>
  <si>
    <t xml:space="preserve">Годовой договор засчитывается по 1/12 в месяц.</t>
  </si>
  <si>
    <t xml:space="preserve">Выручка всего</t>
  </si>
  <si>
    <t xml:space="preserve">  из неё годовых подписок One продано, ₽</t>
  </si>
  <si>
    <t xml:space="preserve">Деньги за год вперёд. Только с них возможен возврат.</t>
  </si>
  <si>
    <t xml:space="preserve">Поступило денег</t>
  </si>
  <si>
    <t xml:space="preserve">Годовые подписчики и компании платят сразу за год.</t>
  </si>
  <si>
    <t xml:space="preserve">Расходы</t>
  </si>
  <si>
    <t xml:space="preserve">Yandex.Cloud и ассистент</t>
  </si>
  <si>
    <t xml:space="preserve">Постоянный счёт плюс вопросы подписчиков: подписчики × вопросы × цена вопроса.</t>
  </si>
  <si>
    <t xml:space="preserve">Обслуживание Pro</t>
  </si>
  <si>
    <t xml:space="preserve">Юрист и товарный знак</t>
  </si>
  <si>
    <t xml:space="preserve">Комиссия за платежи</t>
  </si>
  <si>
    <t xml:space="preserve">Возвраты по годовым подпискам</t>
  </si>
  <si>
    <t xml:space="preserve">Зарплата гендиректора</t>
  </si>
  <si>
    <t xml:space="preserve">Команда на подряде</t>
  </si>
  <si>
    <t xml:space="preserve">Разработчик</t>
  </si>
  <si>
    <t xml:space="preserve">Шесть месяцев без разработчика, шесть по 50 тыс, дальше по 100 тыс.</t>
  </si>
  <si>
    <t xml:space="preserve">Взнос на травматизм</t>
  </si>
  <si>
    <t xml:space="preserve">Расходы всего</t>
  </si>
  <si>
    <t xml:space="preserve">Налоги</t>
  </si>
  <si>
    <t xml:space="preserve">Доход с начала календарного года</t>
  </si>
  <si>
    <t xml:space="preserve">Старт в октябре, поэтому первый календарный год — три месяца.</t>
  </si>
  <si>
    <t xml:space="preserve">НДС</t>
  </si>
  <si>
    <t xml:space="preserve">Нули здесь — нормально: на АУСН НДС нет до 60 млн ₽ в год.</t>
  </si>
  <si>
    <t xml:space="preserve">Налог АУСН</t>
  </si>
  <si>
    <t xml:space="preserve">Большее из двух: 20% с прибыли или 3% с дохода за этот месяц.</t>
  </si>
  <si>
    <t xml:space="preserve">Налоги всего</t>
  </si>
  <si>
    <t xml:space="preserve">Итог</t>
  </si>
  <si>
    <t xml:space="preserve">Чистая прибыль</t>
  </si>
  <si>
    <t xml:space="preserve">Денежный поток</t>
  </si>
  <si>
    <t xml:space="preserve">Деньги на конец месяца</t>
  </si>
  <si>
    <t xml:space="preserve">Месяц, когда число уходит в минус, — тот, к которому нужны деньги.</t>
  </si>
  <si>
    <t xml:space="preserve">Налоги и риски</t>
  </si>
  <si>
    <t xml:space="preserve">Почему ООО на АУСН</t>
  </si>
  <si>
    <t xml:space="preserve">Страховые взносы на АУСН — 0%. Остаётся только взнос на травматизм, 2 959 ₽ в год. На обычной УСН за гендиректора без зарплаты пришлось бы платить 8 128 ₽ в месяц: с 2026 года взносы с руководителя считаются от МРОТ, даже если зарплаты нет.</t>
  </si>
  <si>
    <t xml:space="preserve">Плата за это — ставка 20% с прибыли вместо 15% и минимальный налог 3% от дохода вместо 1%, причём считается он за каждый месяц отдельно: убыточный месяц нельзя перекрыть прибыльным.</t>
  </si>
  <si>
    <t xml:space="preserve">Пока мы в убытке, АУСН выгоднее обычной УСН при выручке до 4,73 млн ₽ в год; когда выйдем в прибыль — при прибыли до 1,89 млн ₽ в год. Выше — выгоднее перейти на УСН с начала следующего года.</t>
  </si>
  <si>
    <t xml:space="preserve">НДС на АУСН нет до 60 млн ₽ дохода в год. На обычной УСН освобождение кончается на 20 млн ₽.</t>
  </si>
  <si>
    <t xml:space="preserve">Что нужно соблюдать, чтобы остаться на АУСН</t>
  </si>
  <si>
    <t xml:space="preserve">Доход до 60 млн ₽ в год и не больше 5 человек. Спросить бухгалтера, считаются ли подрядчики, в том числе разработчик.</t>
  </si>
  <si>
    <t xml:space="preserve">Счета только в банках из списка ФНС, выплаты только безналом, другие режимы совмещать нельзя, доля участника-юрлица — не больше 25%.</t>
  </si>
  <si>
    <t xml:space="preserve">Деловую причину выбора режима лучше записать заранее: переход только ради нулевых взносов налоговая может оспорить.</t>
  </si>
  <si>
    <t xml:space="preserve">Гендиректор без зарплаты при живой выручке — частый повод для вопросов банка.</t>
  </si>
  <si>
    <t xml:space="preserve">Разработчик на подряде: риск</t>
  </si>
  <si>
    <t xml:space="preserve">Подряд без взносов — законно и обычно. Но одинаковая сумма каждый месяц и единственный заказчик — признаки, по которым налоговая может признать отношения трудовыми. Снимает риск договор на конкретный результат, акт с перечнем сделанного на каждую сдачу и чек самозанятого на каждую выплату. Если подрядчик был нашим сотрудником в последние два года, самозанятым для нас он быть не может.</t>
  </si>
  <si>
    <t xml:space="preserve">Выплачено разработчику за 24 месяца</t>
  </si>
  <si>
    <t xml:space="preserve">Шесть месяцев по первой ставке и двенадцать по второй.</t>
  </si>
  <si>
    <t xml:space="preserve">Взносы, если признают работником</t>
  </si>
  <si>
    <t xml:space="preserve">30% со всех выплат задним числом.</t>
  </si>
  <si>
    <t xml:space="preserve">Штраф 20%</t>
  </si>
  <si>
    <t xml:space="preserve">П. 1 ст. 122 НК РФ.</t>
  </si>
  <si>
    <t xml:space="preserve">Итого при худшем исходе</t>
  </si>
  <si>
    <t xml:space="preserve">Плюс пени.</t>
  </si>
  <si>
    <t xml:space="preserve">Что добавляет продажа людям</t>
  </si>
  <si>
    <t xml:space="preserve">Чек на каждый платёж (54-ФЗ). Обычно его выбивает платёжный сервис — проверить в договоре; иначе нужна облачная касса.</t>
  </si>
  <si>
    <t xml:space="preserve">Возврат: человек вправе отказаться в любой момент и получить деньги за неиспользованный срок, и оферта этого не отменит. Оформление доступа лицензией на базу данных может сузить возврат — вопрос юристу.</t>
  </si>
  <si>
    <t xml:space="preserve">Персональные данные: уведомление Роскомнадзора, политика обработки и отдельное согласие на рассылку.</t>
  </si>
  <si>
    <t xml:space="preserve">Реклама в каналах маркируется, и о ней отчитываются. Если это делает площадка — только по письменному поручению.</t>
  </si>
  <si>
    <t xml:space="preserve">Товарный знак: пока он не зарегистрирован, название может занять кто угодно. Регистрация идёт около года.</t>
  </si>
  <si>
    <t xml:space="preserve">Источники ставок (проверено 23 сентября 2026)</t>
  </si>
  <si>
    <t xml:space="preserve">— ФЗ от 25.02.2022 № 17-ФЗ — АУСН: ставка 20%, минимальный налог 3% за месяц, нулевой тариф взносов, пределы 60 млн ₽ и 5 человек</t>
  </si>
  <si>
    <t xml:space="preserve">— ФЗ от 28.11.2025 № 425-ФЗ — взносы с руководителя от МРОТ (п. 1 ст. 421 НК РФ)</t>
  </si>
  <si>
    <t xml:space="preserve">— взнос на травматизм для АУСН на 2026 год — 2 959 ₽ в год</t>
  </si>
  <si>
    <t xml:space="preserve">— ст. 32 Закона РФ «О защите прав потребителей» — отказ от услуги и возврат</t>
  </si>
  <si>
    <t xml:space="preserve">— 54-ФЗ — касса при расчётах с людьми</t>
  </si>
  <si>
    <t xml:space="preserve">— Yandex AI Studio — 0,3 ₽ за 1000 токенов (gpt-oss-120b)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</si>
</sst>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\ ##0;[RED]\-#\ ##0"/>
    <numFmt numFmtId="166" formatCode="#\ ##0&quot; ₽&quot;;[RED]\-#\ ##0&quot; ₽&quot;"/>
    <numFmt numFmtId="167" formatCode="0.0"/>
    <numFmt numFmtId="168" formatCode="0.00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5132"/>
      <name val="Calibri"/>
      <family val="0"/>
      <charset val="1"/>
    </font>
    <font>
      <sz val="9"/>
      <color rgb="FF6B6B6B"/>
      <name val="Calibri"/>
      <family val="0"/>
      <charset val="1"/>
    </font>
    <font>
      <b val="true"/>
      <sz val="11"/>
      <color rgb="FF1C2B25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9C3B1B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0F5132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FEA"/>
        <bgColor rgb="FFFFF3CD"/>
      </patternFill>
    </fill>
    <fill>
      <patternFill patternType="solid">
        <fgColor rgb="FFFFF3CD"/>
        <bgColor rgb="FFE7EFE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F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F5132"/>
      <rgbColor rgb="FF333300"/>
      <rgbColor rgb="FF9C3B1B"/>
      <rgbColor rgb="FF993366"/>
      <rgbColor rgb="FF333399"/>
      <rgbColor rgb="FF1C2B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7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27.75" hidden="false" customHeight="true" outlineLevel="0" collapsed="false">
      <c r="A5" s="5" t="s">
        <v>3</v>
      </c>
      <c r="B5" s="6" t="n">
        <f aca="false">'Экономика клиента'!B25</f>
        <v>24</v>
      </c>
      <c r="C5" s="7" t="s">
        <v>4</v>
      </c>
    </row>
    <row r="6" customFormat="false" ht="27.75" hidden="false" customHeight="true" outlineLevel="0" collapsed="false">
      <c r="A6" s="5" t="s">
        <v>5</v>
      </c>
      <c r="B6" s="6" t="n">
        <f aca="false">IFERROR(MATCH(TRUE(),INDEX('По месяцам'!$B$47:$Y$47&lt;0,0),0),"не кончаются")</f>
        <v>13</v>
      </c>
      <c r="C6" s="7"/>
    </row>
    <row r="7" customFormat="false" ht="27.75" hidden="false" customHeight="true" outlineLevel="0" collapsed="false">
      <c r="A7" s="8" t="s">
        <v>6</v>
      </c>
      <c r="B7" s="9" t="n">
        <f aca="false">MAX(0,-MIN('По месяцам'!B47:Y47))</f>
        <v>486209.61141676</v>
      </c>
      <c r="C7" s="7" t="s">
        <v>7</v>
      </c>
    </row>
    <row r="8" customFormat="false" ht="15" hidden="false" customHeight="false" outlineLevel="0" collapsed="false">
      <c r="A8" s="3" t="s">
        <v>8</v>
      </c>
      <c r="B8" s="4"/>
      <c r="C8" s="4"/>
    </row>
    <row r="9" customFormat="false" ht="27.75" hidden="false" customHeight="true" outlineLevel="0" collapsed="false">
      <c r="A9" s="10" t="s">
        <v>9</v>
      </c>
      <c r="B9" s="11" t="n">
        <f aca="false">'По месяцам'!M10</f>
        <v>37.7023908656443</v>
      </c>
      <c r="C9" s="7"/>
    </row>
    <row r="10" customFormat="false" ht="27.75" hidden="false" customHeight="true" outlineLevel="0" collapsed="false">
      <c r="A10" s="10" t="s">
        <v>10</v>
      </c>
      <c r="B10" s="11" t="n">
        <f aca="false">'По месяцам'!Y10</f>
        <v>96.0198424695259</v>
      </c>
      <c r="C10" s="7"/>
    </row>
    <row r="11" customFormat="false" ht="27.75" hidden="false" customHeight="true" outlineLevel="0" collapsed="false">
      <c r="A11" s="10" t="s">
        <v>11</v>
      </c>
      <c r="B11" s="12" t="n">
        <f aca="false">'По месяцам'!Y13</f>
        <v>35.6864777747145</v>
      </c>
      <c r="C11" s="7"/>
    </row>
    <row r="12" customFormat="false" ht="27.75" hidden="false" customHeight="true" outlineLevel="0" collapsed="false">
      <c r="A12" s="5" t="s">
        <v>12</v>
      </c>
      <c r="B12" s="13" t="n">
        <f aca="false">SUM('По месяцам'!B17:Y17)</f>
        <v>2691410.37196388</v>
      </c>
      <c r="C12" s="7"/>
    </row>
    <row r="13" customFormat="false" ht="27.75" hidden="false" customHeight="true" outlineLevel="0" collapsed="false">
      <c r="A13" s="10" t="s">
        <v>13</v>
      </c>
      <c r="B13" s="14" t="n">
        <f aca="false">SUM('По месяцам'!B16:Y16)</f>
        <v>1723620.06528857</v>
      </c>
      <c r="C13" s="7"/>
    </row>
    <row r="14" customFormat="false" ht="27.75" hidden="false" customHeight="true" outlineLevel="0" collapsed="false">
      <c r="A14" s="10" t="s">
        <v>14</v>
      </c>
      <c r="B14" s="14" t="n">
        <f aca="false">SUM('По месяцам'!B38:Y38)</f>
        <v>4180769.79443315</v>
      </c>
      <c r="C14" s="7"/>
    </row>
    <row r="15" customFormat="false" ht="27.75" hidden="false" customHeight="true" outlineLevel="0" collapsed="false">
      <c r="A15" s="10" t="s">
        <v>15</v>
      </c>
      <c r="B15" s="14" t="n">
        <f aca="false">SUM('По месяцам'!B43:Y43)</f>
        <v>80742.3111589163</v>
      </c>
      <c r="C15" s="7"/>
    </row>
    <row r="16" customFormat="false" ht="27.75" hidden="false" customHeight="true" outlineLevel="0" collapsed="false">
      <c r="A16" s="5" t="s">
        <v>16</v>
      </c>
      <c r="B16" s="13" t="n">
        <f aca="false">SUM('По месяцам'!B45:Y45)</f>
        <v>-1570101.73362819</v>
      </c>
      <c r="C16" s="7"/>
    </row>
    <row r="17" customFormat="false" ht="15" hidden="false" customHeight="false" outlineLevel="0" collapsed="false">
      <c r="A17" s="3" t="s">
        <v>17</v>
      </c>
      <c r="B17" s="4"/>
      <c r="C17" s="4"/>
    </row>
    <row r="18" customFormat="false" ht="27.75" hidden="false" customHeight="true" outlineLevel="0" collapsed="false">
      <c r="A18" s="10" t="s">
        <v>18</v>
      </c>
      <c r="B18" s="14" t="n">
        <f aca="false">'Экономика клиента'!B9</f>
        <v>907.84365</v>
      </c>
      <c r="C18" s="7"/>
    </row>
    <row r="19" customFormat="false" ht="27.75" hidden="false" customHeight="true" outlineLevel="0" collapsed="false">
      <c r="A19" s="10" t="s">
        <v>19</v>
      </c>
      <c r="B19" s="14" t="n">
        <f aca="false">'Экономика клиента'!B17</f>
        <v>3758.33333333333</v>
      </c>
      <c r="C19" s="7"/>
    </row>
    <row r="20" customFormat="false" ht="27.75" hidden="false" customHeight="true" outlineLevel="0" collapsed="false">
      <c r="A20" s="15" t="s">
        <v>20</v>
      </c>
      <c r="B20" s="16" t="n">
        <f aca="false">'Экономика клиента'!B18</f>
        <v>4.1</v>
      </c>
      <c r="C20" s="7"/>
    </row>
    <row r="21" customFormat="false" ht="27.75" hidden="false" customHeight="true" outlineLevel="0" collapsed="false">
      <c r="A21" s="5" t="s">
        <v>21</v>
      </c>
      <c r="B21" s="17" t="n">
        <f aca="false">'Экономика клиента'!B12</f>
        <v>0.79436319375</v>
      </c>
      <c r="C21" s="7" t="s">
        <v>22</v>
      </c>
    </row>
    <row r="22" customFormat="false" ht="27.75" hidden="false" customHeight="true" outlineLevel="0" collapsed="false">
      <c r="A22" s="15" t="s">
        <v>23</v>
      </c>
      <c r="B22" s="18" t="n">
        <f aca="false">'Экономика клиента'!B21</f>
        <v>111</v>
      </c>
      <c r="C22" s="7" t="s">
        <v>24</v>
      </c>
    </row>
    <row r="23" customFormat="false" ht="27.75" hidden="false" customHeight="true" outlineLevel="0" collapsed="false">
      <c r="A23" s="15" t="s">
        <v>25</v>
      </c>
      <c r="B23" s="18" t="n">
        <f aca="false">'Экономика клиента'!B22</f>
        <v>27</v>
      </c>
      <c r="C23" s="7" t="s">
        <v>24</v>
      </c>
    </row>
    <row r="25" customFormat="false" ht="15" hidden="false" customHeight="false" outlineLevel="0" collapsed="false">
      <c r="A25" s="19" t="s">
        <v>26</v>
      </c>
    </row>
    <row r="26" customFormat="false" ht="30" hidden="false" customHeight="true" outlineLevel="0" collapsed="false">
      <c r="A26" s="20" t="s">
        <v>27</v>
      </c>
      <c r="B26" s="21" t="s">
        <v>28</v>
      </c>
      <c r="C26" s="21"/>
    </row>
    <row r="27" customFormat="false" ht="30" hidden="false" customHeight="true" outlineLevel="0" collapsed="false">
      <c r="A27" s="20" t="s">
        <v>27</v>
      </c>
      <c r="B27" s="21" t="s">
        <v>29</v>
      </c>
      <c r="C27" s="21"/>
    </row>
    <row r="28" customFormat="false" ht="30" hidden="false" customHeight="true" outlineLevel="0" collapsed="false">
      <c r="A28" s="20" t="s">
        <v>27</v>
      </c>
      <c r="B28" s="21" t="s">
        <v>30</v>
      </c>
      <c r="C28" s="21"/>
    </row>
    <row r="29" customFormat="false" ht="30" hidden="false" customHeight="true" outlineLevel="0" collapsed="false">
      <c r="A29" s="20" t="s">
        <v>27</v>
      </c>
      <c r="B29" s="21" t="s">
        <v>31</v>
      </c>
      <c r="C29" s="21"/>
    </row>
  </sheetData>
  <mergeCells count="4">
    <mergeCell ref="B26:C26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84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3" t="s">
        <v>34</v>
      </c>
      <c r="B4" s="4"/>
      <c r="C4" s="4"/>
    </row>
    <row r="5" customFormat="false" ht="30" hidden="false" customHeight="true" outlineLevel="0" collapsed="false">
      <c r="A5" s="10" t="s">
        <v>35</v>
      </c>
      <c r="B5" s="14" t="n">
        <f aca="false">Допущения!$B$6*(1-Допущения!$B$8)+Допущения!$B$7/12*Допущения!$B$8</f>
        <v>953.7</v>
      </c>
      <c r="C5" s="7" t="s">
        <v>36</v>
      </c>
    </row>
    <row r="6" customFormat="false" ht="30" hidden="false" customHeight="true" outlineLevel="0" collapsed="false">
      <c r="A6" s="10" t="s">
        <v>37</v>
      </c>
      <c r="B6" s="14" t="n">
        <f aca="false">-$B$5*Допущения!$B$54</f>
        <v>-28.611</v>
      </c>
      <c r="C6" s="7"/>
    </row>
    <row r="7" customFormat="false" ht="30" hidden="false" customHeight="true" outlineLevel="0" collapsed="false">
      <c r="A7" s="10" t="s">
        <v>38</v>
      </c>
      <c r="B7" s="14" t="n">
        <f aca="false">-$B$5*Допущения!$B$8*Допущения!$B$10/2</f>
        <v>-5.24535</v>
      </c>
      <c r="C7" s="7" t="s">
        <v>39</v>
      </c>
    </row>
    <row r="8" customFormat="false" ht="30" hidden="false" customHeight="true" outlineLevel="0" collapsed="false">
      <c r="A8" s="10" t="s">
        <v>40</v>
      </c>
      <c r="B8" s="14" t="n">
        <f aca="false">-Допущения!$B$26*Допущения!$B$27</f>
        <v>-12</v>
      </c>
      <c r="C8" s="7" t="s">
        <v>41</v>
      </c>
    </row>
    <row r="9" customFormat="false" ht="30" hidden="false" customHeight="true" outlineLevel="0" collapsed="false">
      <c r="A9" s="5" t="s">
        <v>42</v>
      </c>
      <c r="B9" s="13" t="n">
        <f aca="false">$B$5+$B$6+$B$7+$B$8</f>
        <v>907.84365</v>
      </c>
      <c r="C9" s="7" t="s">
        <v>43</v>
      </c>
    </row>
    <row r="10" customFormat="false" ht="30" hidden="false" customHeight="true" outlineLevel="0" collapsed="false">
      <c r="A10" s="10" t="s">
        <v>44</v>
      </c>
      <c r="B10" s="14" t="n">
        <f aca="false">$B$9/Допущения!$B$9</f>
        <v>9078.4365</v>
      </c>
      <c r="C10" s="7" t="s">
        <v>45</v>
      </c>
    </row>
    <row r="11" customFormat="false" ht="30" hidden="false" customHeight="true" outlineLevel="0" collapsed="false">
      <c r="A11" s="10" t="s">
        <v>46</v>
      </c>
      <c r="B11" s="14" t="n">
        <f aca="false">Допущения!$B$16/Допущения!$B$17</f>
        <v>11428.5714285714</v>
      </c>
      <c r="C11" s="7" t="s">
        <v>47</v>
      </c>
    </row>
    <row r="12" customFormat="false" ht="30" hidden="false" customHeight="true" outlineLevel="0" collapsed="false">
      <c r="A12" s="5" t="s">
        <v>21</v>
      </c>
      <c r="B12" s="17" t="n">
        <f aca="false">$B$10/$B$11</f>
        <v>0.79436319375</v>
      </c>
      <c r="C12" s="7" t="s">
        <v>48</v>
      </c>
    </row>
    <row r="13" customFormat="false" ht="30" hidden="false" customHeight="true" outlineLevel="0" collapsed="false">
      <c r="A13" s="8" t="s">
        <v>49</v>
      </c>
      <c r="B13" s="9" t="n">
        <f aca="false">$B$10*Допущения!$B$17/3</f>
        <v>211.830185</v>
      </c>
      <c r="C13" s="7" t="s">
        <v>50</v>
      </c>
    </row>
    <row r="14" customFormat="false" ht="15" hidden="false" customHeight="false" outlineLevel="0" collapsed="false">
      <c r="A14" s="3" t="s">
        <v>51</v>
      </c>
      <c r="B14" s="4"/>
      <c r="C14" s="4"/>
    </row>
    <row r="15" customFormat="false" ht="30" hidden="false" customHeight="true" outlineLevel="0" collapsed="false">
      <c r="A15" s="10" t="s">
        <v>52</v>
      </c>
      <c r="B15" s="14" t="n">
        <f aca="false">Допущения!$B$20/12</f>
        <v>4158.33333333333</v>
      </c>
      <c r="C15" s="7" t="s">
        <v>53</v>
      </c>
    </row>
    <row r="16" customFormat="false" ht="30" hidden="false" customHeight="true" outlineLevel="0" collapsed="false">
      <c r="A16" s="10" t="s">
        <v>54</v>
      </c>
      <c r="B16" s="14" t="n">
        <f aca="false">-Допущения!$B$24</f>
        <v>-400</v>
      </c>
      <c r="C16" s="7"/>
    </row>
    <row r="17" customFormat="false" ht="30" hidden="false" customHeight="true" outlineLevel="0" collapsed="false">
      <c r="A17" s="5" t="s">
        <v>55</v>
      </c>
      <c r="B17" s="13" t="n">
        <f aca="false">$B$15+$B$16</f>
        <v>3758.33333333333</v>
      </c>
      <c r="C17" s="7"/>
    </row>
    <row r="18" customFormat="false" ht="30" hidden="false" customHeight="true" outlineLevel="0" collapsed="false">
      <c r="A18" s="15" t="s">
        <v>20</v>
      </c>
      <c r="B18" s="16" t="n">
        <f aca="false">ROUND($B$17/$B$9,1)</f>
        <v>4.1</v>
      </c>
      <c r="C18" s="7" t="s">
        <v>56</v>
      </c>
    </row>
    <row r="19" customFormat="false" ht="15" hidden="false" customHeight="false" outlineLevel="0" collapsed="false">
      <c r="A19" s="3" t="s">
        <v>57</v>
      </c>
      <c r="B19" s="4"/>
      <c r="C19" s="4"/>
    </row>
    <row r="20" customFormat="false" ht="30" hidden="false" customHeight="true" outlineLevel="0" collapsed="false">
      <c r="A20" s="10" t="s">
        <v>58</v>
      </c>
      <c r="B20" s="14" t="n">
        <f aca="false">Допущения!$B$29+Допущения!$B$30+Допущения!$B$31+Допущения!$B$32+Допущения!$B$34+Допущения!$B$35+Допущения!$B$36+Допущения!$B$37+Допущения!$B$39+Допущения!$B$38+Допущения!$B$41+Допущения!$B$42+Допущения!$B$52/12</f>
        <v>99954.5833333333</v>
      </c>
      <c r="C20" s="7" t="s">
        <v>59</v>
      </c>
    </row>
    <row r="21" customFormat="false" ht="30" hidden="false" customHeight="true" outlineLevel="0" collapsed="false">
      <c r="A21" s="15" t="s">
        <v>60</v>
      </c>
      <c r="B21" s="18" t="n">
        <f aca="false">ROUNDUP($B$20/$B$9,0)</f>
        <v>111</v>
      </c>
      <c r="C21" s="7"/>
    </row>
    <row r="22" customFormat="false" ht="30" hidden="false" customHeight="true" outlineLevel="0" collapsed="false">
      <c r="A22" s="15" t="s">
        <v>61</v>
      </c>
      <c r="B22" s="18" t="n">
        <f aca="false">ROUNDUP($B$20/$B$17,0)</f>
        <v>27</v>
      </c>
      <c r="C22" s="7" t="s">
        <v>62</v>
      </c>
    </row>
    <row r="23" customFormat="false" ht="30" hidden="false" customHeight="true" outlineLevel="0" collapsed="false">
      <c r="A23" s="10" t="s">
        <v>63</v>
      </c>
      <c r="B23" s="11" t="n">
        <f aca="false">ROUNDUP(($B$20+Допущения!$B$44)/$B$9,0)</f>
        <v>166</v>
      </c>
      <c r="C23" s="7"/>
    </row>
    <row r="24" customFormat="false" ht="30" hidden="false" customHeight="true" outlineLevel="0" collapsed="false">
      <c r="A24" s="8" t="s">
        <v>64</v>
      </c>
      <c r="B24" s="22" t="n">
        <f aca="false">ROUNDUP(($B$20+Допущения!$B$46)/$B$9,0)</f>
        <v>221</v>
      </c>
      <c r="C24" s="7" t="s">
        <v>65</v>
      </c>
    </row>
    <row r="25" customFormat="false" ht="30" hidden="false" customHeight="true" outlineLevel="0" collapsed="false">
      <c r="A25" s="5" t="s">
        <v>3</v>
      </c>
      <c r="B25" s="6" t="n">
        <f aca="false">IFERROR(MATCH(TRUE(),INDEX('По месяцам'!$B$45:$Y$45&gt;0,0),0),"за 24 месяца не выходим")</f>
        <v>24</v>
      </c>
      <c r="C25" s="7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3" customFormat="false" ht="15" hidden="false" customHeight="false" outlineLevel="0" collapsed="false">
      <c r="A3" s="2" t="s">
        <v>69</v>
      </c>
    </row>
    <row r="5" customFormat="false" ht="15" hidden="false" customHeight="false" outlineLevel="0" collapsed="false">
      <c r="A5" s="3" t="s">
        <v>70</v>
      </c>
      <c r="B5" s="4"/>
      <c r="C5" s="4"/>
    </row>
    <row r="6" customFormat="false" ht="30" hidden="false" customHeight="true" outlineLevel="0" collapsed="false">
      <c r="A6" s="10" t="s">
        <v>71</v>
      </c>
      <c r="B6" s="23" t="n">
        <v>990</v>
      </c>
      <c r="C6" s="7" t="s">
        <v>72</v>
      </c>
    </row>
    <row r="7" customFormat="false" ht="30" hidden="false" customHeight="true" outlineLevel="0" collapsed="false">
      <c r="A7" s="10" t="s">
        <v>73</v>
      </c>
      <c r="B7" s="23" t="n">
        <v>9900</v>
      </c>
      <c r="C7" s="7" t="s">
        <v>74</v>
      </c>
    </row>
    <row r="8" customFormat="false" ht="30" hidden="false" customHeight="true" outlineLevel="0" collapsed="false">
      <c r="A8" s="10" t="s">
        <v>75</v>
      </c>
      <c r="B8" s="24" t="n">
        <v>0.22</v>
      </c>
      <c r="C8" s="7" t="s">
        <v>76</v>
      </c>
    </row>
    <row r="9" customFormat="false" ht="30" hidden="false" customHeight="true" outlineLevel="0" collapsed="false">
      <c r="A9" s="10" t="s">
        <v>77</v>
      </c>
      <c r="B9" s="24" t="n">
        <v>0.1</v>
      </c>
      <c r="C9" s="7" t="s">
        <v>78</v>
      </c>
    </row>
    <row r="10" customFormat="false" ht="30" hidden="false" customHeight="true" outlineLevel="0" collapsed="false">
      <c r="A10" s="10" t="s">
        <v>79</v>
      </c>
      <c r="B10" s="24" t="n">
        <v>0.05</v>
      </c>
      <c r="C10" s="7" t="s">
        <v>80</v>
      </c>
    </row>
    <row r="11" customFormat="false" ht="15" hidden="false" customHeight="false" outlineLevel="0" collapsed="false">
      <c r="A11" s="3" t="s">
        <v>81</v>
      </c>
      <c r="B11" s="4"/>
      <c r="C11" s="4"/>
    </row>
    <row r="12" customFormat="false" ht="30" hidden="false" customHeight="true" outlineLevel="0" collapsed="false">
      <c r="A12" s="10" t="s">
        <v>82</v>
      </c>
      <c r="B12" s="25" t="n">
        <v>25000</v>
      </c>
      <c r="C12" s="7" t="s">
        <v>83</v>
      </c>
    </row>
    <row r="13" customFormat="false" ht="30" hidden="false" customHeight="true" outlineLevel="0" collapsed="false">
      <c r="A13" s="10" t="s">
        <v>84</v>
      </c>
      <c r="B13" s="24" t="n">
        <v>0.035</v>
      </c>
      <c r="C13" s="7" t="s">
        <v>85</v>
      </c>
    </row>
    <row r="14" customFormat="false" ht="30" hidden="false" customHeight="true" outlineLevel="0" collapsed="false">
      <c r="A14" s="10" t="s">
        <v>86</v>
      </c>
      <c r="B14" s="25" t="n">
        <v>25</v>
      </c>
      <c r="C14" s="7" t="s">
        <v>87</v>
      </c>
    </row>
    <row r="15" customFormat="false" ht="30" hidden="false" customHeight="true" outlineLevel="0" collapsed="false">
      <c r="A15" s="10" t="s">
        <v>88</v>
      </c>
      <c r="B15" s="24" t="n">
        <v>0.1</v>
      </c>
      <c r="C15" s="7" t="s">
        <v>89</v>
      </c>
    </row>
    <row r="16" customFormat="false" ht="30" hidden="false" customHeight="true" outlineLevel="0" collapsed="false">
      <c r="A16" s="10" t="s">
        <v>90</v>
      </c>
      <c r="B16" s="23" t="n">
        <v>800</v>
      </c>
      <c r="C16" s="7" t="s">
        <v>91</v>
      </c>
    </row>
    <row r="17" customFormat="false" ht="30" hidden="false" customHeight="true" outlineLevel="0" collapsed="false">
      <c r="A17" s="10" t="s">
        <v>92</v>
      </c>
      <c r="B17" s="24" t="n">
        <v>0.07</v>
      </c>
      <c r="C17" s="7" t="s">
        <v>93</v>
      </c>
    </row>
    <row r="18" customFormat="false" ht="30" hidden="false" customHeight="true" outlineLevel="0" collapsed="false">
      <c r="A18" s="10" t="s">
        <v>94</v>
      </c>
      <c r="B18" s="25" t="n">
        <v>2</v>
      </c>
      <c r="C18" s="7" t="s">
        <v>95</v>
      </c>
    </row>
    <row r="19" customFormat="false" ht="15" hidden="false" customHeight="false" outlineLevel="0" collapsed="false">
      <c r="A19" s="3" t="s">
        <v>96</v>
      </c>
      <c r="B19" s="4"/>
      <c r="C19" s="4"/>
    </row>
    <row r="20" customFormat="false" ht="30" hidden="false" customHeight="true" outlineLevel="0" collapsed="false">
      <c r="A20" s="10" t="s">
        <v>97</v>
      </c>
      <c r="B20" s="23" t="n">
        <v>49900</v>
      </c>
      <c r="C20" s="7" t="s">
        <v>98</v>
      </c>
    </row>
    <row r="21" customFormat="false" ht="30" hidden="false" customHeight="true" outlineLevel="0" collapsed="false">
      <c r="A21" s="10" t="s">
        <v>99</v>
      </c>
      <c r="B21" s="26" t="n">
        <v>2</v>
      </c>
      <c r="C21" s="7" t="s">
        <v>100</v>
      </c>
    </row>
    <row r="22" customFormat="false" ht="30" hidden="false" customHeight="true" outlineLevel="0" collapsed="false">
      <c r="A22" s="10" t="s">
        <v>101</v>
      </c>
      <c r="B22" s="25" t="n">
        <v>4</v>
      </c>
      <c r="C22" s="7" t="s">
        <v>102</v>
      </c>
    </row>
    <row r="23" customFormat="false" ht="30" hidden="false" customHeight="true" outlineLevel="0" collapsed="false">
      <c r="A23" s="10" t="s">
        <v>103</v>
      </c>
      <c r="B23" s="24" t="n">
        <v>0.2</v>
      </c>
      <c r="C23" s="7" t="s">
        <v>104</v>
      </c>
    </row>
    <row r="24" customFormat="false" ht="30" hidden="false" customHeight="true" outlineLevel="0" collapsed="false">
      <c r="A24" s="10" t="s">
        <v>105</v>
      </c>
      <c r="B24" s="23" t="n">
        <v>400</v>
      </c>
      <c r="C24" s="7" t="s">
        <v>106</v>
      </c>
    </row>
    <row r="25" customFormat="false" ht="15" hidden="false" customHeight="false" outlineLevel="0" collapsed="false">
      <c r="A25" s="3" t="s">
        <v>107</v>
      </c>
      <c r="B25" s="4"/>
      <c r="C25" s="4"/>
    </row>
    <row r="26" customFormat="false" ht="30" hidden="false" customHeight="true" outlineLevel="0" collapsed="false">
      <c r="A26" s="10" t="s">
        <v>108</v>
      </c>
      <c r="B26" s="25" t="n">
        <v>12</v>
      </c>
      <c r="C26" s="7" t="s">
        <v>109</v>
      </c>
    </row>
    <row r="27" customFormat="false" ht="30" hidden="false" customHeight="true" outlineLevel="0" collapsed="false">
      <c r="A27" s="10" t="s">
        <v>110</v>
      </c>
      <c r="B27" s="23" t="n">
        <v>1</v>
      </c>
      <c r="C27" s="7" t="s">
        <v>111</v>
      </c>
    </row>
    <row r="28" customFormat="false" ht="15" hidden="false" customHeight="false" outlineLevel="0" collapsed="false">
      <c r="A28" s="3" t="s">
        <v>112</v>
      </c>
      <c r="B28" s="4"/>
      <c r="C28" s="4"/>
    </row>
    <row r="29" customFormat="false" ht="30" hidden="false" customHeight="true" outlineLevel="0" collapsed="false">
      <c r="A29" s="10" t="s">
        <v>113</v>
      </c>
      <c r="B29" s="23" t="n">
        <v>5300</v>
      </c>
      <c r="C29" s="7" t="s">
        <v>114</v>
      </c>
    </row>
    <row r="30" customFormat="false" ht="30" hidden="false" customHeight="true" outlineLevel="0" collapsed="false">
      <c r="A30" s="10" t="s">
        <v>115</v>
      </c>
      <c r="B30" s="23" t="n">
        <v>7000</v>
      </c>
      <c r="C30" s="7" t="s">
        <v>116</v>
      </c>
    </row>
    <row r="31" customFormat="false" ht="30" hidden="false" customHeight="true" outlineLevel="0" collapsed="false">
      <c r="A31" s="10" t="s">
        <v>117</v>
      </c>
      <c r="B31" s="23" t="n">
        <v>20000</v>
      </c>
      <c r="C31" s="7" t="s">
        <v>118</v>
      </c>
    </row>
    <row r="32" customFormat="false" ht="30" hidden="false" customHeight="true" outlineLevel="0" collapsed="false">
      <c r="A32" s="10" t="s">
        <v>119</v>
      </c>
      <c r="B32" s="23" t="n">
        <v>1908</v>
      </c>
      <c r="C32" s="7" t="s">
        <v>120</v>
      </c>
    </row>
    <row r="33" customFormat="false" ht="15" hidden="false" customHeight="false" outlineLevel="0" collapsed="false">
      <c r="A33" s="3" t="s">
        <v>121</v>
      </c>
      <c r="B33" s="4"/>
      <c r="C33" s="4"/>
    </row>
    <row r="34" customFormat="false" ht="30" hidden="false" customHeight="true" outlineLevel="0" collapsed="false">
      <c r="A34" s="10" t="s">
        <v>122</v>
      </c>
      <c r="B34" s="23" t="n">
        <v>8000</v>
      </c>
      <c r="C34" s="7" t="s">
        <v>123</v>
      </c>
    </row>
    <row r="35" customFormat="false" ht="30" hidden="false" customHeight="true" outlineLevel="0" collapsed="false">
      <c r="A35" s="10" t="s">
        <v>124</v>
      </c>
      <c r="B35" s="23" t="n">
        <v>2500</v>
      </c>
      <c r="C35" s="7" t="s">
        <v>125</v>
      </c>
    </row>
    <row r="36" customFormat="false" ht="30" hidden="false" customHeight="true" outlineLevel="0" collapsed="false">
      <c r="A36" s="10" t="s">
        <v>126</v>
      </c>
      <c r="B36" s="23" t="n">
        <v>7000</v>
      </c>
      <c r="C36" s="7" t="s">
        <v>127</v>
      </c>
    </row>
    <row r="37" customFormat="false" ht="30" hidden="false" customHeight="true" outlineLevel="0" collapsed="false">
      <c r="A37" s="10" t="s">
        <v>128</v>
      </c>
      <c r="B37" s="23" t="n">
        <v>10000</v>
      </c>
      <c r="C37" s="7" t="s">
        <v>129</v>
      </c>
    </row>
    <row r="38" customFormat="false" ht="30" hidden="false" customHeight="true" outlineLevel="0" collapsed="false">
      <c r="A38" s="10" t="s">
        <v>130</v>
      </c>
      <c r="B38" s="23" t="n">
        <v>30000</v>
      </c>
      <c r="C38" s="7" t="s">
        <v>131</v>
      </c>
    </row>
    <row r="39" customFormat="false" ht="30" hidden="false" customHeight="true" outlineLevel="0" collapsed="false">
      <c r="A39" s="10" t="s">
        <v>132</v>
      </c>
      <c r="B39" s="23" t="n">
        <v>8000</v>
      </c>
      <c r="C39" s="7" t="s">
        <v>133</v>
      </c>
    </row>
    <row r="40" customFormat="false" ht="15" hidden="false" customHeight="false" outlineLevel="0" collapsed="false">
      <c r="A40" s="3" t="s">
        <v>134</v>
      </c>
      <c r="B40" s="4"/>
      <c r="C40" s="4"/>
    </row>
    <row r="41" customFormat="false" ht="30" hidden="false" customHeight="true" outlineLevel="0" collapsed="false">
      <c r="A41" s="10" t="s">
        <v>135</v>
      </c>
      <c r="B41" s="23" t="n">
        <v>0</v>
      </c>
      <c r="C41" s="7" t="s">
        <v>136</v>
      </c>
    </row>
    <row r="42" customFormat="false" ht="30" hidden="false" customHeight="true" outlineLevel="0" collapsed="false">
      <c r="A42" s="10" t="s">
        <v>137</v>
      </c>
      <c r="B42" s="23" t="n">
        <v>0</v>
      </c>
      <c r="C42" s="7" t="s">
        <v>138</v>
      </c>
    </row>
    <row r="43" customFormat="false" ht="30" hidden="false" customHeight="true" outlineLevel="0" collapsed="false">
      <c r="A43" s="10" t="s">
        <v>139</v>
      </c>
      <c r="B43" s="25" t="n">
        <v>6</v>
      </c>
      <c r="C43" s="7" t="s">
        <v>72</v>
      </c>
    </row>
    <row r="44" customFormat="false" ht="30" hidden="false" customHeight="true" outlineLevel="0" collapsed="false">
      <c r="A44" s="10" t="s">
        <v>140</v>
      </c>
      <c r="B44" s="23" t="n">
        <v>50000</v>
      </c>
      <c r="C44" s="7" t="s">
        <v>141</v>
      </c>
    </row>
    <row r="45" customFormat="false" ht="30" hidden="false" customHeight="true" outlineLevel="0" collapsed="false">
      <c r="A45" s="10" t="s">
        <v>142</v>
      </c>
      <c r="B45" s="25" t="n">
        <v>12</v>
      </c>
      <c r="C45" s="7" t="s">
        <v>143</v>
      </c>
    </row>
    <row r="46" customFormat="false" ht="30" hidden="false" customHeight="true" outlineLevel="0" collapsed="false">
      <c r="A46" s="10" t="s">
        <v>144</v>
      </c>
      <c r="B46" s="23" t="n">
        <v>100000</v>
      </c>
      <c r="C46" s="7" t="s">
        <v>72</v>
      </c>
    </row>
    <row r="47" customFormat="false" ht="15" hidden="false" customHeight="false" outlineLevel="0" collapsed="false">
      <c r="A47" s="3" t="s">
        <v>145</v>
      </c>
      <c r="B47" s="4"/>
      <c r="C47" s="4"/>
    </row>
    <row r="48" customFormat="false" ht="30" hidden="false" customHeight="true" outlineLevel="0" collapsed="false">
      <c r="A48" s="10" t="s">
        <v>146</v>
      </c>
      <c r="B48" s="24" t="n">
        <v>0.2</v>
      </c>
      <c r="C48" s="7"/>
    </row>
    <row r="49" customFormat="false" ht="30" hidden="false" customHeight="true" outlineLevel="0" collapsed="false">
      <c r="A49" s="10" t="s">
        <v>147</v>
      </c>
      <c r="B49" s="24" t="n">
        <v>0.03</v>
      </c>
      <c r="C49" s="7" t="s">
        <v>148</v>
      </c>
    </row>
    <row r="50" customFormat="false" ht="30" hidden="false" customHeight="true" outlineLevel="0" collapsed="false">
      <c r="A50" s="10" t="s">
        <v>149</v>
      </c>
      <c r="B50" s="23" t="n">
        <v>60000000</v>
      </c>
      <c r="C50" s="7" t="s">
        <v>150</v>
      </c>
    </row>
    <row r="51" customFormat="false" ht="30" hidden="false" customHeight="true" outlineLevel="0" collapsed="false">
      <c r="A51" s="10" t="s">
        <v>151</v>
      </c>
      <c r="B51" s="24" t="n">
        <v>0.05</v>
      </c>
      <c r="C51" s="7" t="s">
        <v>152</v>
      </c>
    </row>
    <row r="52" customFormat="false" ht="30" hidden="false" customHeight="true" outlineLevel="0" collapsed="false">
      <c r="A52" s="10" t="s">
        <v>153</v>
      </c>
      <c r="B52" s="23" t="n">
        <v>2959</v>
      </c>
      <c r="C52" s="7" t="s">
        <v>154</v>
      </c>
    </row>
    <row r="53" customFormat="false" ht="30" hidden="false" customHeight="true" outlineLevel="0" collapsed="false">
      <c r="A53" s="10" t="s">
        <v>155</v>
      </c>
      <c r="B53" s="24" t="n">
        <v>0.3</v>
      </c>
      <c r="C53" s="7" t="s">
        <v>156</v>
      </c>
    </row>
    <row r="54" customFormat="false" ht="30" hidden="false" customHeight="true" outlineLevel="0" collapsed="false">
      <c r="A54" s="10" t="s">
        <v>157</v>
      </c>
      <c r="B54" s="24" t="n">
        <v>0.03</v>
      </c>
      <c r="C54" s="7" t="s">
        <v>158</v>
      </c>
    </row>
    <row r="55" customFormat="false" ht="15" hidden="false" customHeight="false" outlineLevel="0" collapsed="false">
      <c r="A55" s="3" t="s">
        <v>159</v>
      </c>
      <c r="B55" s="4"/>
      <c r="C55" s="4"/>
    </row>
    <row r="56" customFormat="false" ht="30" hidden="false" customHeight="true" outlineLevel="0" collapsed="false">
      <c r="A56" s="10" t="s">
        <v>160</v>
      </c>
      <c r="B56" s="23" t="n">
        <v>500000</v>
      </c>
      <c r="C56" s="7" t="s">
        <v>161</v>
      </c>
    </row>
    <row r="57" customFormat="false" ht="30" hidden="false" customHeight="true" outlineLevel="0" collapsed="false">
      <c r="A57" s="10" t="s">
        <v>162</v>
      </c>
      <c r="B57" s="25" t="n">
        <v>0</v>
      </c>
      <c r="C57" s="7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5" min="2" style="0" width="12"/>
    <col collapsed="false" customWidth="true" hidden="false" outlineLevel="0" max="26" min="26" style="0" width="60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3" customFormat="false" ht="15" hidden="false" customHeight="false" outlineLevel="0" collapsed="false">
      <c r="A3" s="27" t="s">
        <v>166</v>
      </c>
      <c r="B3" s="27" t="s">
        <v>167</v>
      </c>
      <c r="C3" s="27" t="s">
        <v>168</v>
      </c>
      <c r="D3" s="27" t="s">
        <v>169</v>
      </c>
      <c r="E3" s="27" t="s">
        <v>170</v>
      </c>
      <c r="F3" s="27" t="s">
        <v>171</v>
      </c>
      <c r="G3" s="27" t="s">
        <v>172</v>
      </c>
      <c r="H3" s="27" t="s">
        <v>173</v>
      </c>
      <c r="I3" s="27" t="s">
        <v>174</v>
      </c>
      <c r="J3" s="27" t="s">
        <v>175</v>
      </c>
      <c r="K3" s="27" t="s">
        <v>176</v>
      </c>
      <c r="L3" s="27" t="s">
        <v>177</v>
      </c>
      <c r="M3" s="27" t="s">
        <v>178</v>
      </c>
      <c r="N3" s="27" t="s">
        <v>179</v>
      </c>
      <c r="O3" s="27" t="s">
        <v>180</v>
      </c>
      <c r="P3" s="27" t="s">
        <v>181</v>
      </c>
      <c r="Q3" s="27" t="s">
        <v>182</v>
      </c>
      <c r="R3" s="27" t="s">
        <v>183</v>
      </c>
      <c r="S3" s="27" t="s">
        <v>184</v>
      </c>
      <c r="T3" s="27" t="s">
        <v>185</v>
      </c>
      <c r="U3" s="27" t="s">
        <v>186</v>
      </c>
      <c r="V3" s="27" t="s">
        <v>187</v>
      </c>
      <c r="W3" s="27" t="s">
        <v>188</v>
      </c>
      <c r="X3" s="27" t="s">
        <v>189</v>
      </c>
      <c r="Y3" s="27" t="s">
        <v>190</v>
      </c>
    </row>
    <row r="4" customFormat="false" ht="15" hidden="false" customHeight="false" outlineLevel="0" collapsed="false">
      <c r="A4" s="3" t="s">
        <v>191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15" hidden="false" customHeight="false" outlineLevel="0" collapsed="false">
      <c r="A5" s="20" t="s">
        <v>192</v>
      </c>
      <c r="B5" s="11" t="n">
        <f aca="false">Допущения!$B$14*(1+Допущения!$B$15)^0</f>
        <v>25</v>
      </c>
      <c r="C5" s="11" t="n">
        <f aca="false">Допущения!$B$14*(1+Допущения!$B$15)^1</f>
        <v>27.5</v>
      </c>
      <c r="D5" s="11" t="n">
        <f aca="false">Допущения!$B$14*(1+Допущения!$B$15)^2</f>
        <v>30.25</v>
      </c>
      <c r="E5" s="11" t="n">
        <f aca="false">Допущения!$B$14*(1+Допущения!$B$15)^3</f>
        <v>33.275</v>
      </c>
      <c r="F5" s="11" t="n">
        <f aca="false">Допущения!$B$14*(1+Допущения!$B$15)^4</f>
        <v>36.6025</v>
      </c>
      <c r="G5" s="11" t="n">
        <f aca="false">Допущения!$B$14*(1+Допущения!$B$15)^5</f>
        <v>40.26275</v>
      </c>
      <c r="H5" s="11" t="n">
        <f aca="false">Допущения!$B$14*(1+Допущения!$B$15)^6</f>
        <v>44.289025</v>
      </c>
      <c r="I5" s="11" t="n">
        <f aca="false">Допущения!$B$14*(1+Допущения!$B$15)^7</f>
        <v>48.7179275</v>
      </c>
      <c r="J5" s="11" t="n">
        <f aca="false">Допущения!$B$14*(1+Допущения!$B$15)^8</f>
        <v>53.58972025</v>
      </c>
      <c r="K5" s="11" t="n">
        <f aca="false">Допущения!$B$14*(1+Допущения!$B$15)^9</f>
        <v>58.9486922750001</v>
      </c>
      <c r="L5" s="11" t="n">
        <f aca="false">Допущения!$B$14*(1+Допущения!$B$15)^10</f>
        <v>64.8435615025001</v>
      </c>
      <c r="M5" s="11" t="n">
        <f aca="false">Допущения!$B$14*(1+Допущения!$B$15)^11</f>
        <v>71.3279176527501</v>
      </c>
      <c r="N5" s="11" t="n">
        <f aca="false">Допущения!$B$14*(1+Допущения!$B$15)^12</f>
        <v>78.4607094180251</v>
      </c>
      <c r="O5" s="11" t="n">
        <f aca="false">Допущения!$B$14*(1+Допущения!$B$15)^13</f>
        <v>86.3067803598276</v>
      </c>
      <c r="P5" s="11" t="n">
        <f aca="false">Допущения!$B$14*(1+Допущения!$B$15)^14</f>
        <v>94.9374583958104</v>
      </c>
      <c r="Q5" s="11" t="n">
        <f aca="false">Допущения!$B$14*(1+Допущения!$B$15)^15</f>
        <v>104.431204235391</v>
      </c>
      <c r="R5" s="11" t="n">
        <f aca="false">Допущения!$B$14*(1+Допущения!$B$15)^16</f>
        <v>114.874324658931</v>
      </c>
      <c r="S5" s="11" t="n">
        <f aca="false">Допущения!$B$14*(1+Допущения!$B$15)^17</f>
        <v>126.361757124824</v>
      </c>
      <c r="T5" s="11" t="n">
        <f aca="false">Допущения!$B$14*(1+Допущения!$B$15)^18</f>
        <v>138.997932837306</v>
      </c>
      <c r="U5" s="11" t="n">
        <f aca="false">Допущения!$B$14*(1+Допущения!$B$15)^19</f>
        <v>152.897726121037</v>
      </c>
      <c r="V5" s="11" t="n">
        <f aca="false">Допущения!$B$14*(1+Допущения!$B$15)^20</f>
        <v>168.18749873314</v>
      </c>
      <c r="W5" s="11" t="n">
        <f aca="false">Допущения!$B$14*(1+Допущения!$B$15)^21</f>
        <v>185.006248606454</v>
      </c>
      <c r="X5" s="11" t="n">
        <f aca="false">Допущения!$B$14*(1+Допущения!$B$15)^22</f>
        <v>203.5068734671</v>
      </c>
      <c r="Y5" s="11" t="n">
        <f aca="false">Допущения!$B$14*(1+Допущения!$B$15)^23</f>
        <v>223.85756081381</v>
      </c>
    </row>
    <row r="6" customFormat="false" ht="15" hidden="false" customHeight="false" outlineLevel="0" collapsed="false">
      <c r="A6" s="20" t="s">
        <v>193</v>
      </c>
      <c r="B6" s="11" t="n">
        <f aca="false">Допущения!$B$38/Допущения!$B$16</f>
        <v>37.5</v>
      </c>
      <c r="C6" s="11" t="n">
        <f aca="false">Допущения!$B$38/Допущения!$B$16</f>
        <v>37.5</v>
      </c>
      <c r="D6" s="11" t="n">
        <f aca="false">Допущения!$B$38/Допущения!$B$16</f>
        <v>37.5</v>
      </c>
      <c r="E6" s="11" t="n">
        <f aca="false">Допущения!$B$38/Допущения!$B$16</f>
        <v>37.5</v>
      </c>
      <c r="F6" s="11" t="n">
        <f aca="false">Допущения!$B$38/Допущения!$B$16</f>
        <v>37.5</v>
      </c>
      <c r="G6" s="11" t="n">
        <f aca="false">Допущения!$B$38/Допущения!$B$16</f>
        <v>37.5</v>
      </c>
      <c r="H6" s="11" t="n">
        <f aca="false">Допущения!$B$38/Допущения!$B$16</f>
        <v>37.5</v>
      </c>
      <c r="I6" s="11" t="n">
        <f aca="false">Допущения!$B$38/Допущения!$B$16</f>
        <v>37.5</v>
      </c>
      <c r="J6" s="11" t="n">
        <f aca="false">Допущения!$B$38/Допущения!$B$16</f>
        <v>37.5</v>
      </c>
      <c r="K6" s="11" t="n">
        <f aca="false">Допущения!$B$38/Допущения!$B$16</f>
        <v>37.5</v>
      </c>
      <c r="L6" s="11" t="n">
        <f aca="false">Допущения!$B$38/Допущения!$B$16</f>
        <v>37.5</v>
      </c>
      <c r="M6" s="11" t="n">
        <f aca="false">Допущения!$B$38/Допущения!$B$16</f>
        <v>37.5</v>
      </c>
      <c r="N6" s="11" t="n">
        <f aca="false">Допущения!$B$38/Допущения!$B$16</f>
        <v>37.5</v>
      </c>
      <c r="O6" s="11" t="n">
        <f aca="false">Допущения!$B$38/Допущения!$B$16</f>
        <v>37.5</v>
      </c>
      <c r="P6" s="11" t="n">
        <f aca="false">Допущения!$B$38/Допущения!$B$16</f>
        <v>37.5</v>
      </c>
      <c r="Q6" s="11" t="n">
        <f aca="false">Допущения!$B$38/Допущения!$B$16</f>
        <v>37.5</v>
      </c>
      <c r="R6" s="11" t="n">
        <f aca="false">Допущения!$B$38/Допущения!$B$16</f>
        <v>37.5</v>
      </c>
      <c r="S6" s="11" t="n">
        <f aca="false">Допущения!$B$38/Допущения!$B$16</f>
        <v>37.5</v>
      </c>
      <c r="T6" s="11" t="n">
        <f aca="false">Допущения!$B$38/Допущения!$B$16</f>
        <v>37.5</v>
      </c>
      <c r="U6" s="11" t="n">
        <f aca="false">Допущения!$B$38/Допущения!$B$16</f>
        <v>37.5</v>
      </c>
      <c r="V6" s="11" t="n">
        <f aca="false">Допущения!$B$38/Допущения!$B$16</f>
        <v>37.5</v>
      </c>
      <c r="W6" s="11" t="n">
        <f aca="false">Допущения!$B$38/Допущения!$B$16</f>
        <v>37.5</v>
      </c>
      <c r="X6" s="11" t="n">
        <f aca="false">Допущения!$B$38/Допущения!$B$16</f>
        <v>37.5</v>
      </c>
      <c r="Y6" s="11" t="n">
        <f aca="false">Допущения!$B$38/Допущения!$B$16</f>
        <v>37.5</v>
      </c>
      <c r="Z6" s="7" t="s">
        <v>194</v>
      </c>
    </row>
    <row r="7" customFormat="false" ht="22.35" hidden="false" customHeight="false" outlineLevel="0" collapsed="false">
      <c r="A7" s="20" t="s">
        <v>195</v>
      </c>
      <c r="B7" s="11" t="n">
        <f aca="false">ROUND((B5+B6)*1,0)</f>
        <v>63</v>
      </c>
      <c r="C7" s="11" t="n">
        <f aca="false">ROUND((C5+C6)*MAX(0,1-B8/Допущения!$B$12),0)</f>
        <v>65</v>
      </c>
      <c r="D7" s="11" t="n">
        <f aca="false">ROUND((D5+D6)*MAX(0,1-C8/Допущения!$B$12),0)</f>
        <v>67</v>
      </c>
      <c r="E7" s="11" t="n">
        <f aca="false">ROUND((E5+E6)*MAX(0,1-D8/Допущения!$B$12),0)</f>
        <v>70</v>
      </c>
      <c r="F7" s="11" t="n">
        <f aca="false">ROUND((F5+F6)*MAX(0,1-E8/Допущения!$B$12),0)</f>
        <v>73</v>
      </c>
      <c r="G7" s="11" t="n">
        <f aca="false">ROUND((G5+G6)*MAX(0,1-F8/Допущения!$B$12),0)</f>
        <v>77</v>
      </c>
      <c r="H7" s="11" t="n">
        <f aca="false">ROUND((H5+H6)*MAX(0,1-G8/Допущения!$B$12),0)</f>
        <v>80</v>
      </c>
      <c r="I7" s="11" t="n">
        <f aca="false">ROUND((I5+I6)*MAX(0,1-H8/Допущения!$B$12),0)</f>
        <v>85</v>
      </c>
      <c r="J7" s="11" t="n">
        <f aca="false">ROUND((J5+J6)*MAX(0,1-I8/Допущения!$B$12),0)</f>
        <v>89</v>
      </c>
      <c r="K7" s="11" t="n">
        <f aca="false">ROUND((K5+K6)*MAX(0,1-J8/Допущения!$B$12),0)</f>
        <v>94</v>
      </c>
      <c r="L7" s="11" t="n">
        <f aca="false">ROUND((L5+L6)*MAX(0,1-K8/Допущения!$B$12),0)</f>
        <v>99</v>
      </c>
      <c r="M7" s="11" t="n">
        <f aca="false">ROUND((M5+M6)*MAX(0,1-L8/Допущения!$B$12),0)</f>
        <v>105</v>
      </c>
      <c r="N7" s="11" t="n">
        <f aca="false">ROUND((N5+N6)*MAX(0,1-M8/Допущения!$B$12),0)</f>
        <v>111</v>
      </c>
      <c r="O7" s="11" t="n">
        <f aca="false">ROUND((O5+O6)*MAX(0,1-N8/Допущения!$B$12),0)</f>
        <v>118</v>
      </c>
      <c r="P7" s="11" t="n">
        <f aca="false">ROUND((P5+P6)*MAX(0,1-O8/Допущения!$B$12),0)</f>
        <v>126</v>
      </c>
      <c r="Q7" s="11" t="n">
        <f aca="false">ROUND((Q5+Q6)*MAX(0,1-P8/Допущения!$B$12),0)</f>
        <v>134</v>
      </c>
      <c r="R7" s="11" t="n">
        <f aca="false">ROUND((R5+R6)*MAX(0,1-Q8/Допущения!$B$12),0)</f>
        <v>144</v>
      </c>
      <c r="S7" s="11" t="n">
        <f aca="false">ROUND((S5+S6)*MAX(0,1-R8/Допущения!$B$12),0)</f>
        <v>153</v>
      </c>
      <c r="T7" s="11" t="n">
        <f aca="false">ROUND((T5+T6)*MAX(0,1-S8/Допущения!$B$12),0)</f>
        <v>164</v>
      </c>
      <c r="U7" s="11" t="n">
        <f aca="false">ROUND((U5+U6)*MAX(0,1-T8/Допущения!$B$12),0)</f>
        <v>176</v>
      </c>
      <c r="V7" s="11" t="n">
        <f aca="false">ROUND((V5+V6)*MAX(0,1-U8/Допущения!$B$12),0)</f>
        <v>188</v>
      </c>
      <c r="W7" s="11" t="n">
        <f aca="false">ROUND((W5+W6)*MAX(0,1-V8/Допущения!$B$12),0)</f>
        <v>202</v>
      </c>
      <c r="X7" s="11" t="n">
        <f aca="false">ROUND((X5+X6)*MAX(0,1-W8/Допущения!$B$12),0)</f>
        <v>217</v>
      </c>
      <c r="Y7" s="11" t="n">
        <f aca="false">ROUND((Y5+Y6)*MAX(0,1-X8/Допущения!$B$12),0)</f>
        <v>233</v>
      </c>
      <c r="Z7" s="7" t="s">
        <v>196</v>
      </c>
    </row>
    <row r="8" customFormat="false" ht="15" hidden="false" customHeight="false" outlineLevel="0" collapsed="false">
      <c r="A8" s="20" t="s">
        <v>197</v>
      </c>
      <c r="B8" s="11" t="n">
        <f aca="false">B7</f>
        <v>63</v>
      </c>
      <c r="C8" s="11" t="n">
        <f aca="false">B8+C7</f>
        <v>128</v>
      </c>
      <c r="D8" s="11" t="n">
        <f aca="false">C8+D7</f>
        <v>195</v>
      </c>
      <c r="E8" s="11" t="n">
        <f aca="false">D8+E7</f>
        <v>265</v>
      </c>
      <c r="F8" s="11" t="n">
        <f aca="false">E8+F7</f>
        <v>338</v>
      </c>
      <c r="G8" s="11" t="n">
        <f aca="false">F8+G7</f>
        <v>415</v>
      </c>
      <c r="H8" s="11" t="n">
        <f aca="false">G8+H7</f>
        <v>495</v>
      </c>
      <c r="I8" s="11" t="n">
        <f aca="false">H8+I7</f>
        <v>580</v>
      </c>
      <c r="J8" s="11" t="n">
        <f aca="false">I8+J7</f>
        <v>669</v>
      </c>
      <c r="K8" s="11" t="n">
        <f aca="false">J8+K7</f>
        <v>763</v>
      </c>
      <c r="L8" s="11" t="n">
        <f aca="false">K8+L7</f>
        <v>862</v>
      </c>
      <c r="M8" s="11" t="n">
        <f aca="false">L8+M7</f>
        <v>967</v>
      </c>
      <c r="N8" s="11" t="n">
        <f aca="false">M8+N7</f>
        <v>1078</v>
      </c>
      <c r="O8" s="11" t="n">
        <f aca="false">N8+O7</f>
        <v>1196</v>
      </c>
      <c r="P8" s="11" t="n">
        <f aca="false">O8+P7</f>
        <v>1322</v>
      </c>
      <c r="Q8" s="11" t="n">
        <f aca="false">P8+Q7</f>
        <v>1456</v>
      </c>
      <c r="R8" s="11" t="n">
        <f aca="false">Q8+R7</f>
        <v>1600</v>
      </c>
      <c r="S8" s="11" t="n">
        <f aca="false">R8+S7</f>
        <v>1753</v>
      </c>
      <c r="T8" s="11" t="n">
        <f aca="false">S8+T7</f>
        <v>1917</v>
      </c>
      <c r="U8" s="11" t="n">
        <f aca="false">T8+U7</f>
        <v>2093</v>
      </c>
      <c r="V8" s="11" t="n">
        <f aca="false">U8+V7</f>
        <v>2281</v>
      </c>
      <c r="W8" s="11" t="n">
        <f aca="false">V8+W7</f>
        <v>2483</v>
      </c>
      <c r="X8" s="11" t="n">
        <f aca="false">W8+X7</f>
        <v>2700</v>
      </c>
      <c r="Y8" s="11" t="n">
        <f aca="false">X8+Y7</f>
        <v>2933</v>
      </c>
    </row>
    <row r="9" customFormat="false" ht="15" hidden="false" customHeight="false" outlineLevel="0" collapsed="false">
      <c r="A9" s="20" t="s">
        <v>198</v>
      </c>
      <c r="B9" s="11" t="n">
        <f aca="false">IF(COLUMN()-1-Допущения!$B$18&lt;1,0,IFERROR(ROUND(INDEX($B$7:$Y$7,1,COLUMN()-1-Допущения!$B$18)*Допущения!$B$17,0),0))</f>
        <v>0</v>
      </c>
      <c r="C9" s="11" t="n">
        <f aca="false">IF(COLUMN()-1-Допущения!$B$18&lt;1,0,IFERROR(ROUND(INDEX($B$7:$Y$7,1,COLUMN()-1-Допущения!$B$18)*Допущения!$B$17,0),0))</f>
        <v>0</v>
      </c>
      <c r="D9" s="11" t="n">
        <f aca="false">IF(COLUMN()-1-Допущения!$B$18&lt;1,0,IFERROR(ROUND(INDEX($B$7:$Y$7,1,COLUMN()-1-Допущения!$B$18)*Допущения!$B$17,0),0))</f>
        <v>4</v>
      </c>
      <c r="E9" s="11" t="n">
        <f aca="false">IF(COLUMN()-1-Допущения!$B$18&lt;1,0,IFERROR(ROUND(INDEX($B$7:$Y$7,1,COLUMN()-1-Допущения!$B$18)*Допущения!$B$17,0),0))</f>
        <v>5</v>
      </c>
      <c r="F9" s="11" t="n">
        <f aca="false">IF(COLUMN()-1-Допущения!$B$18&lt;1,0,IFERROR(ROUND(INDEX($B$7:$Y$7,1,COLUMN()-1-Допущения!$B$18)*Допущения!$B$17,0),0))</f>
        <v>5</v>
      </c>
      <c r="G9" s="11" t="n">
        <f aca="false">IF(COLUMN()-1-Допущения!$B$18&lt;1,0,IFERROR(ROUND(INDEX($B$7:$Y$7,1,COLUMN()-1-Допущения!$B$18)*Допущения!$B$17,0),0))</f>
        <v>5</v>
      </c>
      <c r="H9" s="11" t="n">
        <f aca="false">IF(COLUMN()-1-Допущения!$B$18&lt;1,0,IFERROR(ROUND(INDEX($B$7:$Y$7,1,COLUMN()-1-Допущения!$B$18)*Допущения!$B$17,0),0))</f>
        <v>5</v>
      </c>
      <c r="I9" s="11" t="n">
        <f aca="false">IF(COLUMN()-1-Допущения!$B$18&lt;1,0,IFERROR(ROUND(INDEX($B$7:$Y$7,1,COLUMN()-1-Допущения!$B$18)*Допущения!$B$17,0),0))</f>
        <v>5</v>
      </c>
      <c r="J9" s="11" t="n">
        <f aca="false">IF(COLUMN()-1-Допущения!$B$18&lt;1,0,IFERROR(ROUND(INDEX($B$7:$Y$7,1,COLUMN()-1-Допущения!$B$18)*Допущения!$B$17,0),0))</f>
        <v>6</v>
      </c>
      <c r="K9" s="11" t="n">
        <f aca="false">IF(COLUMN()-1-Допущения!$B$18&lt;1,0,IFERROR(ROUND(INDEX($B$7:$Y$7,1,COLUMN()-1-Допущения!$B$18)*Допущения!$B$17,0),0))</f>
        <v>6</v>
      </c>
      <c r="L9" s="11" t="n">
        <f aca="false">IF(COLUMN()-1-Допущения!$B$18&lt;1,0,IFERROR(ROUND(INDEX($B$7:$Y$7,1,COLUMN()-1-Допущения!$B$18)*Допущения!$B$17,0),0))</f>
        <v>6</v>
      </c>
      <c r="M9" s="11" t="n">
        <f aca="false">IF(COLUMN()-1-Допущения!$B$18&lt;1,0,IFERROR(ROUND(INDEX($B$7:$Y$7,1,COLUMN()-1-Допущения!$B$18)*Допущения!$B$17,0),0))</f>
        <v>7</v>
      </c>
      <c r="N9" s="11" t="n">
        <f aca="false">IF(COLUMN()-1-Допущения!$B$18&lt;1,0,IFERROR(ROUND(INDEX($B$7:$Y$7,1,COLUMN()-1-Допущения!$B$18)*Допущения!$B$17,0),0))</f>
        <v>7</v>
      </c>
      <c r="O9" s="11" t="n">
        <f aca="false">IF(COLUMN()-1-Допущения!$B$18&lt;1,0,IFERROR(ROUND(INDEX($B$7:$Y$7,1,COLUMN()-1-Допущения!$B$18)*Допущения!$B$17,0),0))</f>
        <v>7</v>
      </c>
      <c r="P9" s="11" t="n">
        <f aca="false">IF(COLUMN()-1-Допущения!$B$18&lt;1,0,IFERROR(ROUND(INDEX($B$7:$Y$7,1,COLUMN()-1-Допущения!$B$18)*Допущения!$B$17,0),0))</f>
        <v>8</v>
      </c>
      <c r="Q9" s="11" t="n">
        <f aca="false">IF(COLUMN()-1-Допущения!$B$18&lt;1,0,IFERROR(ROUND(INDEX($B$7:$Y$7,1,COLUMN()-1-Допущения!$B$18)*Допущения!$B$17,0),0))</f>
        <v>8</v>
      </c>
      <c r="R9" s="11" t="n">
        <f aca="false">IF(COLUMN()-1-Допущения!$B$18&lt;1,0,IFERROR(ROUND(INDEX($B$7:$Y$7,1,COLUMN()-1-Допущения!$B$18)*Допущения!$B$17,0),0))</f>
        <v>9</v>
      </c>
      <c r="S9" s="11" t="n">
        <f aca="false">IF(COLUMN()-1-Допущения!$B$18&lt;1,0,IFERROR(ROUND(INDEX($B$7:$Y$7,1,COLUMN()-1-Допущения!$B$18)*Допущения!$B$17,0),0))</f>
        <v>9</v>
      </c>
      <c r="T9" s="11" t="n">
        <f aca="false">IF(COLUMN()-1-Допущения!$B$18&lt;1,0,IFERROR(ROUND(INDEX($B$7:$Y$7,1,COLUMN()-1-Допущения!$B$18)*Допущения!$B$17,0),0))</f>
        <v>10</v>
      </c>
      <c r="U9" s="11" t="n">
        <f aca="false">IF(COLUMN()-1-Допущения!$B$18&lt;1,0,IFERROR(ROUND(INDEX($B$7:$Y$7,1,COLUMN()-1-Допущения!$B$18)*Допущения!$B$17,0),0))</f>
        <v>11</v>
      </c>
      <c r="V9" s="11" t="n">
        <f aca="false">IF(COLUMN()-1-Допущения!$B$18&lt;1,0,IFERROR(ROUND(INDEX($B$7:$Y$7,1,COLUMN()-1-Допущения!$B$18)*Допущения!$B$17,0),0))</f>
        <v>11</v>
      </c>
      <c r="W9" s="11" t="n">
        <f aca="false">IF(COLUMN()-1-Допущения!$B$18&lt;1,0,IFERROR(ROUND(INDEX($B$7:$Y$7,1,COLUMN()-1-Допущения!$B$18)*Допущения!$B$17,0),0))</f>
        <v>12</v>
      </c>
      <c r="X9" s="11" t="n">
        <f aca="false">IF(COLUMN()-1-Допущения!$B$18&lt;1,0,IFERROR(ROUND(INDEX($B$7:$Y$7,1,COLUMN()-1-Допущения!$B$18)*Допущения!$B$17,0),0))</f>
        <v>13</v>
      </c>
      <c r="Y9" s="11" t="n">
        <f aca="false">IF(COLUMN()-1-Допущения!$B$18&lt;1,0,IFERROR(ROUND(INDEX($B$7:$Y$7,1,COLUMN()-1-Допущения!$B$18)*Допущения!$B$17,0),0))</f>
        <v>14</v>
      </c>
      <c r="Z9" s="7" t="s">
        <v>199</v>
      </c>
    </row>
    <row r="10" customFormat="false" ht="15" hidden="false" customHeight="false" outlineLevel="0" collapsed="false">
      <c r="A10" s="20" t="s">
        <v>200</v>
      </c>
      <c r="B10" s="11" t="n">
        <f aca="false">MIN(Допущения!$B$57+B9,Допущения!$B$12*Допущения!$B$13)</f>
        <v>0</v>
      </c>
      <c r="C10" s="11" t="n">
        <f aca="false">MIN(B10*(1-Допущения!$B$9*(1-Допущения!$B$8*1/24))+C9,Допущения!$B$12*Допущения!$B$13)</f>
        <v>0</v>
      </c>
      <c r="D10" s="11" t="n">
        <f aca="false">MIN(C10*(1-Допущения!$B$9*(1-Допущения!$B$8*2/24))+D9,Допущения!$B$12*Допущения!$B$13)</f>
        <v>4</v>
      </c>
      <c r="E10" s="11" t="n">
        <f aca="false">MIN(D10*(1-Допущения!$B$9*(1-Допущения!$B$8*3/24))+E9,Допущения!$B$12*Допущения!$B$13)</f>
        <v>8.611</v>
      </c>
      <c r="F10" s="11" t="n">
        <f aca="false">MIN(E10*(1-Допущения!$B$9*(1-Допущения!$B$8*4/24))+F9,Допущения!$B$12*Допущения!$B$13)</f>
        <v>12.7814736666667</v>
      </c>
      <c r="G10" s="11" t="n">
        <f aca="false">MIN(F10*(1-Допущения!$B$9*(1-Допущения!$B$8*5/24))+G9,Допущения!$B$12*Допущения!$B$13)</f>
        <v>16.5619080543056</v>
      </c>
      <c r="H10" s="11" t="n">
        <f aca="false">MIN(G10*(1-Допущения!$B$9*(1-Допущения!$B$8*6/24))+H9,Допущения!$B$12*Допущения!$B$13)</f>
        <v>19.9968077431737</v>
      </c>
      <c r="I10" s="11" t="n">
        <f aca="false">MIN(H10*(1-Допущения!$B$9*(1-Допущения!$B$8*7/24))+I9,Допущения!$B$12*Допущения!$B$13)</f>
        <v>23.1254398185417</v>
      </c>
      <c r="J10" s="11" t="n">
        <f aca="false">MIN(I10*(1-Допущения!$B$9*(1-Допущения!$B$8*8/24))+J9,Допущения!$B$12*Допущения!$B$13)</f>
        <v>26.9824823953568</v>
      </c>
      <c r="K10" s="11" t="n">
        <f aca="false">MIN(J10*(1-Допущения!$B$9*(1-Допущения!$B$8*9/24))+K9,Допущения!$B$12*Допущения!$B$13)</f>
        <v>30.5068396355828</v>
      </c>
      <c r="L10" s="11" t="n">
        <f aca="false">MIN(K10*(1-Допущения!$B$9*(1-Допущения!$B$8*10/24))+L9,Допущения!$B$12*Допущения!$B$13)</f>
        <v>33.7358017020174</v>
      </c>
      <c r="M10" s="11" t="n">
        <f aca="false">MIN(L10*(1-Допущения!$B$9*(1-Допущения!$B$8*11/24))+M9,Допущения!$B$12*Допущения!$B$13)</f>
        <v>37.7023908656443</v>
      </c>
      <c r="N10" s="11" t="n">
        <f aca="false">MIN(M10*(1-Допущения!$B$9*(1-Допущения!$B$8*12/24))+N9,Допущения!$B$12*Допущения!$B$13)</f>
        <v>41.346878078602</v>
      </c>
      <c r="O10" s="11" t="n">
        <f aca="false">MIN(N10*(1-Допущения!$B$9*(1-Допущения!$B$8*13/24))+O9,Допущения!$B$12*Допущения!$B$13)</f>
        <v>44.7049072345118</v>
      </c>
      <c r="P10" s="11" t="n">
        <f aca="false">MIN(O10*(1-Допущения!$B$9*(1-Допущения!$B$8*14/24))+P9,Допущения!$B$12*Допущения!$B$13)</f>
        <v>48.8081294872369</v>
      </c>
      <c r="Q10" s="11" t="n">
        <f aca="false">MIN(P10*(1-Допущения!$B$9*(1-Допущения!$B$8*15/24))+Q9,Допущения!$B$12*Допущения!$B$13)</f>
        <v>52.5984283189627</v>
      </c>
      <c r="R10" s="11" t="n">
        <f aca="false">MIN(Q10*(1-Допущения!$B$9*(1-Допущения!$B$8*16/24))+R9,Допущения!$B$12*Допущения!$B$13)</f>
        <v>57.1100291024112</v>
      </c>
      <c r="S10" s="11" t="n">
        <f aca="false">MIN(R10*(1-Допущения!$B$9*(1-Допущения!$B$8*17/24))+S9,Допущения!$B$12*Допущения!$B$13)</f>
        <v>61.2889908123493</v>
      </c>
      <c r="T10" s="11" t="n">
        <f aca="false">MIN(S10*(1-Допущения!$B$9*(1-Допущения!$B$8*18/24))+T9,Допущения!$B$12*Допущения!$B$13)</f>
        <v>66.1713600795181</v>
      </c>
      <c r="U10" s="11" t="n">
        <f aca="false">MIN(T10*(1-Допущения!$B$9*(1-Допущения!$B$8*19/24))+U9,Допущения!$B$12*Допущения!$B$13)</f>
        <v>71.7067085929513</v>
      </c>
      <c r="V10" s="11" t="n">
        <f aca="false">MIN(U10*(1-Допущения!$B$9*(1-Допущения!$B$8*20/24))+V9,Допущения!$B$12*Допущения!$B$13)</f>
        <v>76.8506607245269</v>
      </c>
      <c r="W10" s="11" t="n">
        <f aca="false">MIN(V10*(1-Допущения!$B$9*(1-Допущения!$B$8*21/24))+W9,Допущения!$B$12*Допущения!$B$13)</f>
        <v>82.6449698710214</v>
      </c>
      <c r="X10" s="11" t="n">
        <f aca="false">MIN(W10*(1-Допущения!$B$9*(1-Допущения!$B$8*22/24))+X9,Допущения!$B$12*Допущения!$B$13)</f>
        <v>89.0471464429848</v>
      </c>
      <c r="Y10" s="11" t="n">
        <f aca="false">MIN(X10*(1-Допущения!$B$9*(1-Допущения!$B$8*23/24))+Y9,Допущения!$B$12*Допущения!$B$13)</f>
        <v>96.0198424695259</v>
      </c>
      <c r="Z10" s="7" t="s">
        <v>201</v>
      </c>
    </row>
    <row r="11" customFormat="false" ht="15" hidden="false" customHeight="false" outlineLevel="0" collapsed="false">
      <c r="A11" s="3" t="s">
        <v>202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customFormat="false" ht="15" hidden="false" customHeight="false" outlineLevel="0" collapsed="false">
      <c r="A12" s="20" t="s">
        <v>203</v>
      </c>
      <c r="B12" s="12" t="n">
        <f aca="false">IF(1&lt;Допущения!$B$22,0,Допущения!$B$21)</f>
        <v>0</v>
      </c>
      <c r="C12" s="12" t="n">
        <f aca="false">IF(2&lt;Допущения!$B$22,0,Допущения!$B$21)</f>
        <v>0</v>
      </c>
      <c r="D12" s="12" t="n">
        <f aca="false">IF(3&lt;Допущения!$B$22,0,Допущения!$B$21)</f>
        <v>0</v>
      </c>
      <c r="E12" s="12" t="n">
        <f aca="false">IF(4&lt;Допущения!$B$22,0,Допущения!$B$21)</f>
        <v>2</v>
      </c>
      <c r="F12" s="12" t="n">
        <f aca="false">IF(5&lt;Допущения!$B$22,0,Допущения!$B$21)</f>
        <v>2</v>
      </c>
      <c r="G12" s="12" t="n">
        <f aca="false">IF(6&lt;Допущения!$B$22,0,Допущения!$B$21)</f>
        <v>2</v>
      </c>
      <c r="H12" s="12" t="n">
        <f aca="false">IF(7&lt;Допущения!$B$22,0,Допущения!$B$21)</f>
        <v>2</v>
      </c>
      <c r="I12" s="12" t="n">
        <f aca="false">IF(8&lt;Допущения!$B$22,0,Допущения!$B$21)</f>
        <v>2</v>
      </c>
      <c r="J12" s="12" t="n">
        <f aca="false">IF(9&lt;Допущения!$B$22,0,Допущения!$B$21)</f>
        <v>2</v>
      </c>
      <c r="K12" s="12" t="n">
        <f aca="false">IF(10&lt;Допущения!$B$22,0,Допущения!$B$21)</f>
        <v>2</v>
      </c>
      <c r="L12" s="12" t="n">
        <f aca="false">IF(11&lt;Допущения!$B$22,0,Допущения!$B$21)</f>
        <v>2</v>
      </c>
      <c r="M12" s="12" t="n">
        <f aca="false">IF(12&lt;Допущения!$B$22,0,Допущения!$B$21)</f>
        <v>2</v>
      </c>
      <c r="N12" s="12" t="n">
        <f aca="false">IF(13&lt;Допущения!$B$22,0,Допущения!$B$21)</f>
        <v>2</v>
      </c>
      <c r="O12" s="12" t="n">
        <f aca="false">IF(14&lt;Допущения!$B$22,0,Допущения!$B$21)</f>
        <v>2</v>
      </c>
      <c r="P12" s="12" t="n">
        <f aca="false">IF(15&lt;Допущения!$B$22,0,Допущения!$B$21)</f>
        <v>2</v>
      </c>
      <c r="Q12" s="12" t="n">
        <f aca="false">IF(16&lt;Допущения!$B$22,0,Допущения!$B$21)</f>
        <v>2</v>
      </c>
      <c r="R12" s="12" t="n">
        <f aca="false">IF(17&lt;Допущения!$B$22,0,Допущения!$B$21)</f>
        <v>2</v>
      </c>
      <c r="S12" s="12" t="n">
        <f aca="false">IF(18&lt;Допущения!$B$22,0,Допущения!$B$21)</f>
        <v>2</v>
      </c>
      <c r="T12" s="12" t="n">
        <f aca="false">IF(19&lt;Допущения!$B$22,0,Допущения!$B$21)</f>
        <v>2</v>
      </c>
      <c r="U12" s="12" t="n">
        <f aca="false">IF(20&lt;Допущения!$B$22,0,Допущения!$B$21)</f>
        <v>2</v>
      </c>
      <c r="V12" s="12" t="n">
        <f aca="false">IF(21&lt;Допущения!$B$22,0,Допущения!$B$21)</f>
        <v>2</v>
      </c>
      <c r="W12" s="12" t="n">
        <f aca="false">IF(22&lt;Допущения!$B$22,0,Допущения!$B$21)</f>
        <v>2</v>
      </c>
      <c r="X12" s="12" t="n">
        <f aca="false">IF(23&lt;Допущения!$B$22,0,Допущения!$B$21)</f>
        <v>2</v>
      </c>
      <c r="Y12" s="12" t="n">
        <f aca="false">IF(24&lt;Допущения!$B$22,0,Допущения!$B$21)</f>
        <v>2</v>
      </c>
    </row>
    <row r="13" customFormat="false" ht="15" hidden="false" customHeight="false" outlineLevel="0" collapsed="false">
      <c r="A13" s="20" t="s">
        <v>204</v>
      </c>
      <c r="B13" s="12" t="n">
        <f aca="false">B12</f>
        <v>0</v>
      </c>
      <c r="C13" s="12" t="n">
        <f aca="false">B13*(1-Допущения!$B$23/12)+C12</f>
        <v>0</v>
      </c>
      <c r="D13" s="12" t="n">
        <f aca="false">C13*(1-Допущения!$B$23/12)+D12</f>
        <v>0</v>
      </c>
      <c r="E13" s="12" t="n">
        <f aca="false">D13*(1-Допущения!$B$23/12)+E12</f>
        <v>2</v>
      </c>
      <c r="F13" s="12" t="n">
        <f aca="false">E13*(1-Допущения!$B$23/12)+F12</f>
        <v>3.96666666666667</v>
      </c>
      <c r="G13" s="12" t="n">
        <f aca="false">F13*(1-Допущения!$B$23/12)+G12</f>
        <v>5.90055555555556</v>
      </c>
      <c r="H13" s="12" t="n">
        <f aca="false">G13*(1-Допущения!$B$23/12)+H12</f>
        <v>7.80221296296296</v>
      </c>
      <c r="I13" s="12" t="n">
        <f aca="false">H13*(1-Допущения!$B$23/12)+I12</f>
        <v>9.67217608024691</v>
      </c>
      <c r="J13" s="12" t="n">
        <f aca="false">I13*(1-Допущения!$B$23/12)+J12</f>
        <v>11.5109731455761</v>
      </c>
      <c r="K13" s="12" t="n">
        <f aca="false">J13*(1-Допущения!$B$23/12)+K12</f>
        <v>13.3191235931499</v>
      </c>
      <c r="L13" s="12" t="n">
        <f aca="false">K13*(1-Допущения!$B$23/12)+L12</f>
        <v>15.0971381999307</v>
      </c>
      <c r="M13" s="12" t="n">
        <f aca="false">L13*(1-Допущения!$B$23/12)+M12</f>
        <v>16.8455192299319</v>
      </c>
      <c r="N13" s="12" t="n">
        <f aca="false">M13*(1-Допущения!$B$23/12)+N12</f>
        <v>18.5647605760997</v>
      </c>
      <c r="O13" s="12" t="n">
        <f aca="false">N13*(1-Допущения!$B$23/12)+O12</f>
        <v>20.2553478998313</v>
      </c>
      <c r="P13" s="12" t="n">
        <f aca="false">O13*(1-Допущения!$B$23/12)+P12</f>
        <v>21.9177587681675</v>
      </c>
      <c r="Q13" s="12" t="n">
        <f aca="false">P13*(1-Допущения!$B$23/12)+Q12</f>
        <v>23.552462788698</v>
      </c>
      <c r="R13" s="12" t="n">
        <f aca="false">Q13*(1-Допущения!$B$23/12)+R12</f>
        <v>25.1599217422197</v>
      </c>
      <c r="S13" s="12" t="n">
        <f aca="false">R13*(1-Допущения!$B$23/12)+S12</f>
        <v>26.7405897131827</v>
      </c>
      <c r="T13" s="12" t="n">
        <f aca="false">S13*(1-Допущения!$B$23/12)+T12</f>
        <v>28.294913217963</v>
      </c>
      <c r="U13" s="12" t="n">
        <f aca="false">T13*(1-Допущения!$B$23/12)+U12</f>
        <v>29.8233313309969</v>
      </c>
      <c r="V13" s="12" t="n">
        <f aca="false">U13*(1-Допущения!$B$23/12)+V12</f>
        <v>31.3262758088137</v>
      </c>
      <c r="W13" s="12" t="n">
        <f aca="false">V13*(1-Допущения!$B$23/12)+W12</f>
        <v>32.8041712120001</v>
      </c>
      <c r="X13" s="12" t="n">
        <f aca="false">W13*(1-Допущения!$B$23/12)+X12</f>
        <v>34.2574350251334</v>
      </c>
      <c r="Y13" s="12" t="n">
        <f aca="false">X13*(1-Допущения!$B$23/12)+Y12</f>
        <v>35.6864777747145</v>
      </c>
      <c r="Z13" s="7" t="s">
        <v>205</v>
      </c>
    </row>
    <row r="14" customFormat="false" ht="15" hidden="false" customHeight="false" outlineLevel="0" collapsed="false">
      <c r="A14" s="3" t="s">
        <v>206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customFormat="false" ht="15" hidden="false" customHeight="false" outlineLevel="0" collapsed="false">
      <c r="A15" s="20" t="s">
        <v>207</v>
      </c>
      <c r="B15" s="14" t="n">
        <f aca="false">B10*(Допущения!$B$6*(1-Допущения!$B$8*0/24)+Допущения!$B$7/12*Допущения!$B$8*0/24)</f>
        <v>0</v>
      </c>
      <c r="C15" s="14" t="n">
        <f aca="false">C10*(Допущения!$B$6*(1-Допущения!$B$8*1/24)+Допущения!$B$7/12*Допущения!$B$8*1/24)</f>
        <v>0</v>
      </c>
      <c r="D15" s="14" t="n">
        <f aca="false">D10*(Допущения!$B$6*(1-Допущения!$B$8*2/24)+Допущения!$B$7/12*Допущения!$B$8*2/24)</f>
        <v>3947.9</v>
      </c>
      <c r="E15" s="14" t="n">
        <f aca="false">E10*(Допущения!$B$6*(1-Допущения!$B$8*3/24)+Допущения!$B$7/12*Допущения!$B$8*3/24)</f>
        <v>8485.8175875</v>
      </c>
      <c r="F15" s="14" t="n">
        <f aca="false">F10*(Допущения!$B$6*(1-Допущения!$B$8*4/24)+Допущения!$B$7/12*Допущения!$B$8*4/24)</f>
        <v>12576.3310143167</v>
      </c>
      <c r="G15" s="14" t="n">
        <f aca="false">G10*(Допущения!$B$6*(1-Допущения!$B$8*5/24)+Допущения!$B$7/12*Допущения!$B$8*5/24)</f>
        <v>16271.0395441018</v>
      </c>
      <c r="H15" s="14" t="n">
        <f aca="false">H10*(Допущения!$B$6*(1-Допущения!$B$8*6/24)+Допущения!$B$7/12*Допущения!$B$8*6/24)</f>
        <v>19615.3686354726</v>
      </c>
      <c r="I15" s="14" t="n">
        <f aca="false">I10*(Допущения!$B$6*(1-Допущения!$B$8*7/24)+Допущения!$B$7/12*Допущения!$B$8*7/24)</f>
        <v>22649.3448262774</v>
      </c>
      <c r="J15" s="14" t="n">
        <f aca="false">J10*(Допущения!$B$6*(1-Допущения!$B$8*8/24)+Допущения!$B$7/12*Допущения!$B$8*8/24)</f>
        <v>26386.1695344194</v>
      </c>
      <c r="K15" s="14" t="n">
        <f aca="false">K10*(Допущения!$B$6*(1-Допущения!$B$8*9/24)+Допущения!$B$7/12*Допущения!$B$8*9/24)</f>
        <v>29786.4968846876</v>
      </c>
      <c r="L15" s="14" t="n">
        <f aca="false">L10*(Допущения!$B$6*(1-Допущения!$B$8*10/24)+Допущения!$B$7/12*Допущения!$B$8*10/24)</f>
        <v>32888.1896842542</v>
      </c>
      <c r="M15" s="14" t="n">
        <f aca="false">M10*(Допущения!$B$6*(1-Допущения!$B$8*11/24)+Допущения!$B$7/12*Допущения!$B$8*11/24)</f>
        <v>36698.0934289607</v>
      </c>
      <c r="N15" s="14" t="n">
        <f aca="false">N10*(Допущения!$B$6*(1-Допущения!$B$8*12/24)+Допущения!$B$7/12*Допущения!$B$8*12/24)</f>
        <v>40182.9634606893</v>
      </c>
      <c r="O15" s="14" t="n">
        <f aca="false">O10*(Допущения!$B$6*(1-Допущения!$B$8*13/24)+Допущения!$B$7/12*Допущения!$B$8*13/24)</f>
        <v>43378.8479236681</v>
      </c>
      <c r="P15" s="14" t="n">
        <f aca="false">P10*(Допущения!$B$6*(1-Допущения!$B$8*14/24)+Допущения!$B$7/12*Допущения!$B$8*14/24)</f>
        <v>47286.5360504722</v>
      </c>
      <c r="Q15" s="14" t="n">
        <f aca="false">Q10*(Допущения!$B$6*(1-Допущения!$B$8*15/24)+Допущения!$B$7/12*Допущения!$B$8*15/24)</f>
        <v>50879.1171932866</v>
      </c>
      <c r="R15" s="14" t="n">
        <f aca="false">R10*(Допущения!$B$6*(1-Допущения!$B$8*16/24)+Допущения!$B$7/12*Допущения!$B$8*16/24)</f>
        <v>55156.8661071087</v>
      </c>
      <c r="S15" s="14" t="n">
        <f aca="false">S10*(Допущения!$B$6*(1-Допущения!$B$8*17/24)+Допущения!$B$7/12*Допущения!$B$8*17/24)</f>
        <v>59100.2077279633</v>
      </c>
      <c r="T15" s="14" t="n">
        <f aca="false">T10*(Допущения!$B$6*(1-Допущения!$B$8*18/24)+Допущения!$B$7/12*Допущения!$B$8*18/24)</f>
        <v>63708.1312005581</v>
      </c>
      <c r="U15" s="14" t="n">
        <f aca="false">U10*(Допущения!$B$6*(1-Допущения!$B$8*19/24)+Допущения!$B$7/12*Допущения!$B$8*19/24)</f>
        <v>68928.9699688318</v>
      </c>
      <c r="V15" s="14" t="n">
        <f aca="false">V10*(Допущения!$B$6*(1-Допущения!$B$8*20/24)+Допущения!$B$7/12*Допущения!$B$8*20/24)</f>
        <v>73757.4216303647</v>
      </c>
      <c r="W15" s="14" t="n">
        <f aca="false">W10*(Допущения!$B$6*(1-Допущения!$B$8*21/24)+Допущения!$B$7/12*Допущения!$B$8*21/24)</f>
        <v>79193.5093167828</v>
      </c>
      <c r="X15" s="14" t="n">
        <f aca="false">X10*(Допущения!$B$6*(1-Допущения!$B$8*22/24)+Допущения!$B$7/12*Допущения!$B$8*22/24)</f>
        <v>85193.6311806647</v>
      </c>
      <c r="Y15" s="14" t="n">
        <f aca="false">Y10*(Допущения!$B$6*(1-Допущения!$B$8*23/24)+Допущения!$B$7/12*Допущения!$B$8*23/24)</f>
        <v>91719.353774922</v>
      </c>
      <c r="Z15" s="7" t="s">
        <v>208</v>
      </c>
    </row>
    <row r="16" customFormat="false" ht="15" hidden="false" customHeight="false" outlineLevel="0" collapsed="false">
      <c r="A16" s="20" t="s">
        <v>209</v>
      </c>
      <c r="B16" s="14" t="n">
        <f aca="false">B13*Допущения!$B$20/12</f>
        <v>0</v>
      </c>
      <c r="C16" s="14" t="n">
        <f aca="false">C13*Допущения!$B$20/12</f>
        <v>0</v>
      </c>
      <c r="D16" s="14" t="n">
        <f aca="false">D13*Допущения!$B$20/12</f>
        <v>0</v>
      </c>
      <c r="E16" s="14" t="n">
        <f aca="false">E13*Допущения!$B$20/12</f>
        <v>8316.66666666667</v>
      </c>
      <c r="F16" s="14" t="n">
        <f aca="false">F13*Допущения!$B$20/12</f>
        <v>16494.7222222222</v>
      </c>
      <c r="G16" s="14" t="n">
        <f aca="false">G13*Допущения!$B$20/12</f>
        <v>24536.4768518519</v>
      </c>
      <c r="H16" s="14" t="n">
        <f aca="false">H13*Допущения!$B$20/12</f>
        <v>32444.2022376543</v>
      </c>
      <c r="I16" s="14" t="n">
        <f aca="false">I13*Допущения!$B$20/12</f>
        <v>40220.1322003601</v>
      </c>
      <c r="J16" s="14" t="n">
        <f aca="false">J13*Допущения!$B$20/12</f>
        <v>47866.4633303541</v>
      </c>
      <c r="K16" s="14" t="n">
        <f aca="false">K13*Допущения!$B$20/12</f>
        <v>55385.3556081815</v>
      </c>
      <c r="L16" s="14" t="n">
        <f aca="false">L13*Допущения!$B$20/12</f>
        <v>62778.9330147118</v>
      </c>
      <c r="M16" s="14" t="n">
        <f aca="false">M13*Допущения!$B$20/12</f>
        <v>70049.2841311333</v>
      </c>
      <c r="N16" s="14" t="n">
        <f aca="false">N13*Допущения!$B$20/12</f>
        <v>77198.4627289477</v>
      </c>
      <c r="O16" s="14" t="n">
        <f aca="false">O13*Допущения!$B$20/12</f>
        <v>84228.4883501319</v>
      </c>
      <c r="P16" s="14" t="n">
        <f aca="false">P13*Допущения!$B$20/12</f>
        <v>91141.3468776297</v>
      </c>
      <c r="Q16" s="14" t="n">
        <f aca="false">Q13*Допущения!$B$20/12</f>
        <v>97938.9910963359</v>
      </c>
      <c r="R16" s="14" t="n">
        <f aca="false">R13*Допущения!$B$20/12</f>
        <v>104623.34124473</v>
      </c>
      <c r="S16" s="14" t="n">
        <f aca="false">S13*Допущения!$B$20/12</f>
        <v>111196.285557318</v>
      </c>
      <c r="T16" s="14" t="n">
        <f aca="false">T13*Допущения!$B$20/12</f>
        <v>117659.680798029</v>
      </c>
      <c r="U16" s="14" t="n">
        <f aca="false">U13*Допущения!$B$20/12</f>
        <v>124015.352784729</v>
      </c>
      <c r="V16" s="14" t="n">
        <f aca="false">V13*Допущения!$B$20/12</f>
        <v>130265.096904983</v>
      </c>
      <c r="W16" s="14" t="n">
        <f aca="false">W13*Допущения!$B$20/12</f>
        <v>136410.678623234</v>
      </c>
      <c r="X16" s="14" t="n">
        <f aca="false">X13*Допущения!$B$20/12</f>
        <v>142453.833979513</v>
      </c>
      <c r="Y16" s="14" t="n">
        <f aca="false">Y13*Допущения!$B$20/12</f>
        <v>148396.270079855</v>
      </c>
      <c r="Z16" s="7" t="s">
        <v>210</v>
      </c>
    </row>
    <row r="17" customFormat="false" ht="15" hidden="false" customHeight="false" outlineLevel="0" collapsed="false">
      <c r="A17" s="28" t="s">
        <v>211</v>
      </c>
      <c r="B17" s="13" t="n">
        <f aca="false">B15+B16</f>
        <v>0</v>
      </c>
      <c r="C17" s="13" t="n">
        <f aca="false">C15+C16</f>
        <v>0</v>
      </c>
      <c r="D17" s="13" t="n">
        <f aca="false">D15+D16</f>
        <v>3947.9</v>
      </c>
      <c r="E17" s="13" t="n">
        <f aca="false">E15+E16</f>
        <v>16802.4842541667</v>
      </c>
      <c r="F17" s="13" t="n">
        <f aca="false">F15+F16</f>
        <v>29071.0532365389</v>
      </c>
      <c r="G17" s="13" t="n">
        <f aca="false">G15+G16</f>
        <v>40807.5163959537</v>
      </c>
      <c r="H17" s="13" t="n">
        <f aca="false">H15+H16</f>
        <v>52059.570873127</v>
      </c>
      <c r="I17" s="13" t="n">
        <f aca="false">I15+I16</f>
        <v>62869.4770266375</v>
      </c>
      <c r="J17" s="13" t="n">
        <f aca="false">J15+J16</f>
        <v>74252.6328647735</v>
      </c>
      <c r="K17" s="13" t="n">
        <f aca="false">K15+K16</f>
        <v>85171.8524928691</v>
      </c>
      <c r="L17" s="13" t="n">
        <f aca="false">L15+L16</f>
        <v>95667.122698966</v>
      </c>
      <c r="M17" s="13" t="n">
        <f aca="false">M15+M16</f>
        <v>106747.377560094</v>
      </c>
      <c r="N17" s="13" t="n">
        <f aca="false">N15+N16</f>
        <v>117381.426189637</v>
      </c>
      <c r="O17" s="13" t="n">
        <f aca="false">O15+O16</f>
        <v>127607.3362738</v>
      </c>
      <c r="P17" s="13" t="n">
        <f aca="false">P15+P16</f>
        <v>138427.882928102</v>
      </c>
      <c r="Q17" s="13" t="n">
        <f aca="false">Q15+Q16</f>
        <v>148818.108289622</v>
      </c>
      <c r="R17" s="13" t="n">
        <f aca="false">R15+R16</f>
        <v>159780.207351839</v>
      </c>
      <c r="S17" s="13" t="n">
        <f aca="false">S15+S16</f>
        <v>170296.493285281</v>
      </c>
      <c r="T17" s="13" t="n">
        <f aca="false">T15+T16</f>
        <v>181367.811998588</v>
      </c>
      <c r="U17" s="13" t="n">
        <f aca="false">U15+U16</f>
        <v>192944.322753561</v>
      </c>
      <c r="V17" s="13" t="n">
        <f aca="false">V15+V16</f>
        <v>204022.518535348</v>
      </c>
      <c r="W17" s="13" t="n">
        <f aca="false">W15+W16</f>
        <v>215604.187940017</v>
      </c>
      <c r="X17" s="13" t="n">
        <f aca="false">X15+X16</f>
        <v>227647.465160178</v>
      </c>
      <c r="Y17" s="13" t="n">
        <f aca="false">Y15+Y16</f>
        <v>240115.623854777</v>
      </c>
    </row>
    <row r="18" customFormat="false" ht="15" hidden="false" customHeight="false" outlineLevel="0" collapsed="false">
      <c r="A18" s="20" t="s">
        <v>212</v>
      </c>
      <c r="B18" s="14" t="n">
        <f aca="false">B9*Допущения!$B$8*0/24*Допущения!$B$7</f>
        <v>0</v>
      </c>
      <c r="C18" s="14" t="n">
        <f aca="false">C9*Допущения!$B$8*1/24*Допущения!$B$7</f>
        <v>0</v>
      </c>
      <c r="D18" s="14" t="n">
        <f aca="false">D9*Допущения!$B$8*2/24*Допущения!$B$7</f>
        <v>726</v>
      </c>
      <c r="E18" s="14" t="n">
        <f aca="false">E9*Допущения!$B$8*3/24*Допущения!$B$7</f>
        <v>1361.25</v>
      </c>
      <c r="F18" s="14" t="n">
        <f aca="false">F9*Допущения!$B$8*4/24*Допущения!$B$7</f>
        <v>1815</v>
      </c>
      <c r="G18" s="14" t="n">
        <f aca="false">G9*Допущения!$B$8*5/24*Допущения!$B$7</f>
        <v>2268.75</v>
      </c>
      <c r="H18" s="14" t="n">
        <f aca="false">H9*Допущения!$B$8*6/24*Допущения!$B$7</f>
        <v>2722.5</v>
      </c>
      <c r="I18" s="14" t="n">
        <f aca="false">I9*Допущения!$B$8*7/24*Допущения!$B$7</f>
        <v>3176.25</v>
      </c>
      <c r="J18" s="14" t="n">
        <f aca="false">J9*Допущения!$B$8*8/24*Допущения!$B$7</f>
        <v>4356</v>
      </c>
      <c r="K18" s="14" t="n">
        <f aca="false">K9*Допущения!$B$8*9/24*Допущения!$B$7</f>
        <v>4900.5</v>
      </c>
      <c r="L18" s="14" t="n">
        <f aca="false">L9*Допущения!$B$8*10/24*Допущения!$B$7</f>
        <v>5445</v>
      </c>
      <c r="M18" s="14" t="n">
        <f aca="false">M9*Допущения!$B$8*11/24*Допущения!$B$7</f>
        <v>6987.75</v>
      </c>
      <c r="N18" s="14" t="n">
        <f aca="false">N9*Допущения!$B$8*12/24*Допущения!$B$7</f>
        <v>7623</v>
      </c>
      <c r="O18" s="14" t="n">
        <f aca="false">O9*Допущения!$B$8*13/24*Допущения!$B$7</f>
        <v>8258.25</v>
      </c>
      <c r="P18" s="14" t="n">
        <f aca="false">P9*Допущения!$B$8*14/24*Допущения!$B$7</f>
        <v>10164</v>
      </c>
      <c r="Q18" s="14" t="n">
        <f aca="false">Q9*Допущения!$B$8*15/24*Допущения!$B$7</f>
        <v>10890</v>
      </c>
      <c r="R18" s="14" t="n">
        <f aca="false">R9*Допущения!$B$8*16/24*Допущения!$B$7</f>
        <v>13068</v>
      </c>
      <c r="S18" s="14" t="n">
        <f aca="false">S9*Допущения!$B$8*17/24*Допущения!$B$7</f>
        <v>13884.75</v>
      </c>
      <c r="T18" s="14" t="n">
        <f aca="false">T9*Допущения!$B$8*18/24*Допущения!$B$7</f>
        <v>16335</v>
      </c>
      <c r="U18" s="14" t="n">
        <f aca="false">U9*Допущения!$B$8*19/24*Допущения!$B$7</f>
        <v>18966.75</v>
      </c>
      <c r="V18" s="14" t="n">
        <f aca="false">V9*Допущения!$B$8*20/24*Допущения!$B$7</f>
        <v>19965</v>
      </c>
      <c r="W18" s="14" t="n">
        <f aca="false">W9*Допущения!$B$8*21/24*Допущения!$B$7</f>
        <v>22869</v>
      </c>
      <c r="X18" s="14" t="n">
        <f aca="false">X9*Допущения!$B$8*22/24*Допущения!$B$7</f>
        <v>25954.5</v>
      </c>
      <c r="Y18" s="14" t="n">
        <f aca="false">Y9*Допущения!$B$8*23/24*Допущения!$B$7</f>
        <v>29221.5</v>
      </c>
      <c r="Z18" s="7" t="s">
        <v>213</v>
      </c>
    </row>
    <row r="19" customFormat="false" ht="15" hidden="false" customHeight="false" outlineLevel="0" collapsed="false">
      <c r="A19" s="20" t="s">
        <v>214</v>
      </c>
      <c r="B19" s="14" t="n">
        <f aca="false">B15+B18-B9*Допущения!$B$8*0/24*Допущения!$B$7/12+B12*Допущения!$B$20</f>
        <v>0</v>
      </c>
      <c r="C19" s="14" t="n">
        <f aca="false">C15+C18-C9*Допущения!$B$8*1/24*Допущения!$B$7/12+C12*Допущения!$B$20</f>
        <v>0</v>
      </c>
      <c r="D19" s="14" t="n">
        <f aca="false">D15+D18-D9*Допущения!$B$8*2/24*Допущения!$B$7/12+D12*Допущения!$B$20</f>
        <v>4613.4</v>
      </c>
      <c r="E19" s="14" t="n">
        <f aca="false">E15+E18-E9*Допущения!$B$8*3/24*Допущения!$B$7/12+E12*Допущения!$B$20</f>
        <v>109533.6300875</v>
      </c>
      <c r="F19" s="14" t="n">
        <f aca="false">F15+F18-F9*Допущения!$B$8*4/24*Допущения!$B$7/12+F12*Допущения!$B$20</f>
        <v>114040.081014317</v>
      </c>
      <c r="G19" s="14" t="n">
        <f aca="false">G15+G18-G9*Допущения!$B$8*5/24*Допущения!$B$7/12+G12*Допущения!$B$20</f>
        <v>118150.727044102</v>
      </c>
      <c r="H19" s="14" t="n">
        <f aca="false">H15+H18-H9*Допущения!$B$8*6/24*Допущения!$B$7/12+H12*Допущения!$B$20</f>
        <v>121910.993635473</v>
      </c>
      <c r="I19" s="14" t="n">
        <f aca="false">I15+I18-I9*Допущения!$B$8*7/24*Допущения!$B$7/12+I12*Допущения!$B$20</f>
        <v>125360.907326277</v>
      </c>
      <c r="J19" s="14" t="n">
        <f aca="false">J15+J18-J9*Допущения!$B$8*8/24*Допущения!$B$7/12+J12*Допущения!$B$20</f>
        <v>130179.169534419</v>
      </c>
      <c r="K19" s="14" t="n">
        <f aca="false">K15+K18-K9*Допущения!$B$8*9/24*Допущения!$B$7/12+K12*Допущения!$B$20</f>
        <v>134078.621884688</v>
      </c>
      <c r="L19" s="14" t="n">
        <f aca="false">L15+L18-L9*Допущения!$B$8*10/24*Допущения!$B$7/12+L12*Допущения!$B$20</f>
        <v>137679.439684254</v>
      </c>
      <c r="M19" s="14" t="n">
        <f aca="false">M15+M18-M9*Допущения!$B$8*11/24*Допущения!$B$7/12+M12*Допущения!$B$20</f>
        <v>142903.530928961</v>
      </c>
      <c r="N19" s="14" t="n">
        <f aca="false">N15+N18-N9*Допущения!$B$8*12/24*Допущения!$B$7/12+N12*Допущения!$B$20</f>
        <v>146970.713460689</v>
      </c>
      <c r="O19" s="14" t="n">
        <f aca="false">O15+O18-O9*Допущения!$B$8*13/24*Допущения!$B$7/12+O12*Допущения!$B$20</f>
        <v>150748.910423668</v>
      </c>
      <c r="P19" s="14" t="n">
        <f aca="false">P15+P18-P9*Допущения!$B$8*14/24*Допущения!$B$7/12+P12*Допущения!$B$20</f>
        <v>156403.536050472</v>
      </c>
      <c r="Q19" s="14" t="n">
        <f aca="false">Q15+Q18-Q9*Допущения!$B$8*15/24*Допущения!$B$7/12+Q12*Допущения!$B$20</f>
        <v>160661.617193287</v>
      </c>
      <c r="R19" s="14" t="n">
        <f aca="false">R15+R18-R9*Допущения!$B$8*16/24*Допущения!$B$7/12+R12*Допущения!$B$20</f>
        <v>166935.866107109</v>
      </c>
      <c r="S19" s="14" t="n">
        <f aca="false">S15+S18-S9*Допущения!$B$8*17/24*Допущения!$B$7/12+S12*Допущения!$B$20</f>
        <v>171627.895227963</v>
      </c>
      <c r="T19" s="14" t="n">
        <f aca="false">T15+T18-T9*Допущения!$B$8*18/24*Допущения!$B$7/12+T12*Допущения!$B$20</f>
        <v>178481.881200558</v>
      </c>
      <c r="U19" s="14" t="n">
        <f aca="false">U15+U18-U9*Допущения!$B$8*19/24*Допущения!$B$7/12+U12*Допущения!$B$20</f>
        <v>186115.157468832</v>
      </c>
      <c r="V19" s="14" t="n">
        <f aca="false">V15+V18-V9*Допущения!$B$8*20/24*Допущения!$B$7/12+V12*Допущения!$B$20</f>
        <v>191858.671630365</v>
      </c>
      <c r="W19" s="14" t="n">
        <f aca="false">W15+W18-W9*Допущения!$B$8*21/24*Допущения!$B$7/12+W12*Допущения!$B$20</f>
        <v>199956.759316783</v>
      </c>
      <c r="X19" s="14" t="n">
        <f aca="false">X15+X18-X9*Допущения!$B$8*22/24*Допущения!$B$7/12+X12*Допущения!$B$20</f>
        <v>208785.256180665</v>
      </c>
      <c r="Y19" s="14" t="n">
        <f aca="false">Y15+Y18-Y9*Допущения!$B$8*23/24*Допущения!$B$7/12+Y12*Допущения!$B$20</f>
        <v>218305.728774922</v>
      </c>
      <c r="Z19" s="7" t="s">
        <v>215</v>
      </c>
    </row>
    <row r="20" customFormat="false" ht="15" hidden="false" customHeight="false" outlineLevel="0" collapsed="false">
      <c r="A20" s="3" t="s">
        <v>216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customFormat="false" ht="15" hidden="false" customHeight="false" outlineLevel="0" collapsed="false">
      <c r="A21" s="20" t="s">
        <v>113</v>
      </c>
      <c r="B21" s="14" t="n">
        <f aca="false">Допущения!$B$29</f>
        <v>5300</v>
      </c>
      <c r="C21" s="14" t="n">
        <f aca="false">Допущения!$B$29</f>
        <v>5300</v>
      </c>
      <c r="D21" s="14" t="n">
        <f aca="false">Допущения!$B$29</f>
        <v>5300</v>
      </c>
      <c r="E21" s="14" t="n">
        <f aca="false">Допущения!$B$29</f>
        <v>5300</v>
      </c>
      <c r="F21" s="14" t="n">
        <f aca="false">Допущения!$B$29</f>
        <v>5300</v>
      </c>
      <c r="G21" s="14" t="n">
        <f aca="false">Допущения!$B$29</f>
        <v>5300</v>
      </c>
      <c r="H21" s="14" t="n">
        <f aca="false">Допущения!$B$29</f>
        <v>5300</v>
      </c>
      <c r="I21" s="14" t="n">
        <f aca="false">Допущения!$B$29</f>
        <v>5300</v>
      </c>
      <c r="J21" s="14" t="n">
        <f aca="false">Допущения!$B$29</f>
        <v>5300</v>
      </c>
      <c r="K21" s="14" t="n">
        <f aca="false">Допущения!$B$29</f>
        <v>5300</v>
      </c>
      <c r="L21" s="14" t="n">
        <f aca="false">Допущения!$B$29</f>
        <v>5300</v>
      </c>
      <c r="M21" s="14" t="n">
        <f aca="false">Допущения!$B$29</f>
        <v>5300</v>
      </c>
      <c r="N21" s="14" t="n">
        <f aca="false">Допущения!$B$29</f>
        <v>5300</v>
      </c>
      <c r="O21" s="14" t="n">
        <f aca="false">Допущения!$B$29</f>
        <v>5300</v>
      </c>
      <c r="P21" s="14" t="n">
        <f aca="false">Допущения!$B$29</f>
        <v>5300</v>
      </c>
      <c r="Q21" s="14" t="n">
        <f aca="false">Допущения!$B$29</f>
        <v>5300</v>
      </c>
      <c r="R21" s="14" t="n">
        <f aca="false">Допущения!$B$29</f>
        <v>5300</v>
      </c>
      <c r="S21" s="14" t="n">
        <f aca="false">Допущения!$B$29</f>
        <v>5300</v>
      </c>
      <c r="T21" s="14" t="n">
        <f aca="false">Допущения!$B$29</f>
        <v>5300</v>
      </c>
      <c r="U21" s="14" t="n">
        <f aca="false">Допущения!$B$29</f>
        <v>5300</v>
      </c>
      <c r="V21" s="14" t="n">
        <f aca="false">Допущения!$B$29</f>
        <v>5300</v>
      </c>
      <c r="W21" s="14" t="n">
        <f aca="false">Допущения!$B$29</f>
        <v>5300</v>
      </c>
      <c r="X21" s="14" t="n">
        <f aca="false">Допущения!$B$29</f>
        <v>5300</v>
      </c>
      <c r="Y21" s="14" t="n">
        <f aca="false">Допущения!$B$29</f>
        <v>5300</v>
      </c>
    </row>
    <row r="22" customFormat="false" ht="22.35" hidden="false" customHeight="false" outlineLevel="0" collapsed="false">
      <c r="A22" s="20" t="s">
        <v>217</v>
      </c>
      <c r="B22" s="14" t="n">
        <f aca="false">Допущения!$B$30+B10*Допущения!$B$26*Допущения!$B$27</f>
        <v>7000</v>
      </c>
      <c r="C22" s="14" t="n">
        <f aca="false">Допущения!$B$30+C10*Допущения!$B$26*Допущения!$B$27</f>
        <v>7000</v>
      </c>
      <c r="D22" s="14" t="n">
        <f aca="false">Допущения!$B$30+D10*Допущения!$B$26*Допущения!$B$27</f>
        <v>7048</v>
      </c>
      <c r="E22" s="14" t="n">
        <f aca="false">Допущения!$B$30+E10*Допущения!$B$26*Допущения!$B$27</f>
        <v>7103.332</v>
      </c>
      <c r="F22" s="14" t="n">
        <f aca="false">Допущения!$B$30+F10*Допущения!$B$26*Допущения!$B$27</f>
        <v>7153.377684</v>
      </c>
      <c r="G22" s="14" t="n">
        <f aca="false">Допущения!$B$30+G10*Допущения!$B$26*Допущения!$B$27</f>
        <v>7198.74289665167</v>
      </c>
      <c r="H22" s="14" t="n">
        <f aca="false">Допущения!$B$30+H10*Допущения!$B$26*Допущения!$B$27</f>
        <v>7239.96169291808</v>
      </c>
      <c r="I22" s="14" t="n">
        <f aca="false">Допущения!$B$30+I10*Допущения!$B$26*Допущения!$B$27</f>
        <v>7277.5052778225</v>
      </c>
      <c r="J22" s="14" t="n">
        <f aca="false">Допущения!$B$30+J10*Допущения!$B$26*Допущения!$B$27</f>
        <v>7323.78978874428</v>
      </c>
      <c r="K22" s="14" t="n">
        <f aca="false">Допущения!$B$30+K10*Допущения!$B$26*Допущения!$B$27</f>
        <v>7366.08207562699</v>
      </c>
      <c r="L22" s="14" t="n">
        <f aca="false">Допущения!$B$30+L10*Допущения!$B$26*Допущения!$B$27</f>
        <v>7404.82962042421</v>
      </c>
      <c r="M22" s="14" t="n">
        <f aca="false">Допущения!$B$30+M10*Допущения!$B$26*Допущения!$B$27</f>
        <v>7452.42869038773</v>
      </c>
      <c r="N22" s="14" t="n">
        <f aca="false">Допущения!$B$30+N10*Допущения!$B$26*Допущения!$B$27</f>
        <v>7496.16253694322</v>
      </c>
      <c r="O22" s="14" t="n">
        <f aca="false">Допущения!$B$30+O10*Допущения!$B$26*Допущения!$B$27</f>
        <v>7536.45888681414</v>
      </c>
      <c r="P22" s="14" t="n">
        <f aca="false">Допущения!$B$30+P10*Допущения!$B$26*Допущения!$B$27</f>
        <v>7585.69755384684</v>
      </c>
      <c r="Q22" s="14" t="n">
        <f aca="false">Допущения!$B$30+Q10*Допущения!$B$26*Допущения!$B$27</f>
        <v>7631.18113982755</v>
      </c>
      <c r="R22" s="14" t="n">
        <f aca="false">Допущения!$B$30+R10*Допущения!$B$26*Допущения!$B$27</f>
        <v>7685.32034922893</v>
      </c>
      <c r="S22" s="14" t="n">
        <f aca="false">Допущения!$B$30+S10*Допущения!$B$26*Допущения!$B$27</f>
        <v>7735.46788974819</v>
      </c>
      <c r="T22" s="14" t="n">
        <f aca="false">Допущения!$B$30+T10*Допущения!$B$26*Допущения!$B$27</f>
        <v>7794.05632095422</v>
      </c>
      <c r="U22" s="14" t="n">
        <f aca="false">Допущения!$B$30+U10*Допущения!$B$26*Допущения!$B$27</f>
        <v>7860.48050311542</v>
      </c>
      <c r="V22" s="14" t="n">
        <f aca="false">Допущения!$B$30+V10*Допущения!$B$26*Допущения!$B$27</f>
        <v>7922.20792869432</v>
      </c>
      <c r="W22" s="14" t="n">
        <f aca="false">Допущения!$B$30+W10*Допущения!$B$26*Допущения!$B$27</f>
        <v>7991.73963845226</v>
      </c>
      <c r="X22" s="14" t="n">
        <f aca="false">Допущения!$B$30+X10*Допущения!$B$26*Допущения!$B$27</f>
        <v>8068.56575731582</v>
      </c>
      <c r="Y22" s="14" t="n">
        <f aca="false">Допущения!$B$30+Y10*Допущения!$B$26*Допущения!$B$27</f>
        <v>8152.23810963431</v>
      </c>
      <c r="Z22" s="7" t="s">
        <v>218</v>
      </c>
    </row>
    <row r="23" customFormat="false" ht="15" hidden="false" customHeight="false" outlineLevel="0" collapsed="false">
      <c r="A23" s="20" t="s">
        <v>117</v>
      </c>
      <c r="B23" s="14" t="n">
        <f aca="false">Допущения!$B$31</f>
        <v>20000</v>
      </c>
      <c r="C23" s="14" t="n">
        <f aca="false">Допущения!$B$31</f>
        <v>20000</v>
      </c>
      <c r="D23" s="14" t="n">
        <f aca="false">Допущения!$B$31</f>
        <v>20000</v>
      </c>
      <c r="E23" s="14" t="n">
        <f aca="false">Допущения!$B$31</f>
        <v>20000</v>
      </c>
      <c r="F23" s="14" t="n">
        <f aca="false">Допущения!$B$31</f>
        <v>20000</v>
      </c>
      <c r="G23" s="14" t="n">
        <f aca="false">Допущения!$B$31</f>
        <v>20000</v>
      </c>
      <c r="H23" s="14" t="n">
        <f aca="false">Допущения!$B$31</f>
        <v>20000</v>
      </c>
      <c r="I23" s="14" t="n">
        <f aca="false">Допущения!$B$31</f>
        <v>20000</v>
      </c>
      <c r="J23" s="14" t="n">
        <f aca="false">Допущения!$B$31</f>
        <v>20000</v>
      </c>
      <c r="K23" s="14" t="n">
        <f aca="false">Допущения!$B$31</f>
        <v>20000</v>
      </c>
      <c r="L23" s="14" t="n">
        <f aca="false">Допущения!$B$31</f>
        <v>20000</v>
      </c>
      <c r="M23" s="14" t="n">
        <f aca="false">Допущения!$B$31</f>
        <v>20000</v>
      </c>
      <c r="N23" s="14" t="n">
        <f aca="false">Допущения!$B$31</f>
        <v>20000</v>
      </c>
      <c r="O23" s="14" t="n">
        <f aca="false">Допущения!$B$31</f>
        <v>20000</v>
      </c>
      <c r="P23" s="14" t="n">
        <f aca="false">Допущения!$B$31</f>
        <v>20000</v>
      </c>
      <c r="Q23" s="14" t="n">
        <f aca="false">Допущения!$B$31</f>
        <v>20000</v>
      </c>
      <c r="R23" s="14" t="n">
        <f aca="false">Допущения!$B$31</f>
        <v>20000</v>
      </c>
      <c r="S23" s="14" t="n">
        <f aca="false">Допущения!$B$31</f>
        <v>20000</v>
      </c>
      <c r="T23" s="14" t="n">
        <f aca="false">Допущения!$B$31</f>
        <v>20000</v>
      </c>
      <c r="U23" s="14" t="n">
        <f aca="false">Допущения!$B$31</f>
        <v>20000</v>
      </c>
      <c r="V23" s="14" t="n">
        <f aca="false">Допущения!$B$31</f>
        <v>20000</v>
      </c>
      <c r="W23" s="14" t="n">
        <f aca="false">Допущения!$B$31</f>
        <v>20000</v>
      </c>
      <c r="X23" s="14" t="n">
        <f aca="false">Допущения!$B$31</f>
        <v>20000</v>
      </c>
      <c r="Y23" s="14" t="n">
        <f aca="false">Допущения!$B$31</f>
        <v>20000</v>
      </c>
    </row>
    <row r="24" customFormat="false" ht="15" hidden="false" customHeight="false" outlineLevel="0" collapsed="false">
      <c r="A24" s="20" t="s">
        <v>122</v>
      </c>
      <c r="B24" s="14" t="n">
        <f aca="false">Допущения!$B$34</f>
        <v>8000</v>
      </c>
      <c r="C24" s="14" t="n">
        <f aca="false">Допущения!$B$34</f>
        <v>8000</v>
      </c>
      <c r="D24" s="14" t="n">
        <f aca="false">Допущения!$B$34</f>
        <v>8000</v>
      </c>
      <c r="E24" s="14" t="n">
        <f aca="false">Допущения!$B$34</f>
        <v>8000</v>
      </c>
      <c r="F24" s="14" t="n">
        <f aca="false">Допущения!$B$34</f>
        <v>8000</v>
      </c>
      <c r="G24" s="14" t="n">
        <f aca="false">Допущения!$B$34</f>
        <v>8000</v>
      </c>
      <c r="H24" s="14" t="n">
        <f aca="false">Допущения!$B$34</f>
        <v>8000</v>
      </c>
      <c r="I24" s="14" t="n">
        <f aca="false">Допущения!$B$34</f>
        <v>8000</v>
      </c>
      <c r="J24" s="14" t="n">
        <f aca="false">Допущения!$B$34</f>
        <v>8000</v>
      </c>
      <c r="K24" s="14" t="n">
        <f aca="false">Допущения!$B$34</f>
        <v>8000</v>
      </c>
      <c r="L24" s="14" t="n">
        <f aca="false">Допущения!$B$34</f>
        <v>8000</v>
      </c>
      <c r="M24" s="14" t="n">
        <f aca="false">Допущения!$B$34</f>
        <v>8000</v>
      </c>
      <c r="N24" s="14" t="n">
        <f aca="false">Допущения!$B$34</f>
        <v>8000</v>
      </c>
      <c r="O24" s="14" t="n">
        <f aca="false">Допущения!$B$34</f>
        <v>8000</v>
      </c>
      <c r="P24" s="14" t="n">
        <f aca="false">Допущения!$B$34</f>
        <v>8000</v>
      </c>
      <c r="Q24" s="14" t="n">
        <f aca="false">Допущения!$B$34</f>
        <v>8000</v>
      </c>
      <c r="R24" s="14" t="n">
        <f aca="false">Допущения!$B$34</f>
        <v>8000</v>
      </c>
      <c r="S24" s="14" t="n">
        <f aca="false">Допущения!$B$34</f>
        <v>8000</v>
      </c>
      <c r="T24" s="14" t="n">
        <f aca="false">Допущения!$B$34</f>
        <v>8000</v>
      </c>
      <c r="U24" s="14" t="n">
        <f aca="false">Допущения!$B$34</f>
        <v>8000</v>
      </c>
      <c r="V24" s="14" t="n">
        <f aca="false">Допущения!$B$34</f>
        <v>8000</v>
      </c>
      <c r="W24" s="14" t="n">
        <f aca="false">Допущения!$B$34</f>
        <v>8000</v>
      </c>
      <c r="X24" s="14" t="n">
        <f aca="false">Допущения!$B$34</f>
        <v>8000</v>
      </c>
      <c r="Y24" s="14" t="n">
        <f aca="false">Допущения!$B$34</f>
        <v>8000</v>
      </c>
    </row>
    <row r="25" customFormat="false" ht="15" hidden="false" customHeight="false" outlineLevel="0" collapsed="false">
      <c r="A25" s="20" t="s">
        <v>124</v>
      </c>
      <c r="B25" s="14" t="n">
        <f aca="false">Допущения!$B$35</f>
        <v>2500</v>
      </c>
      <c r="C25" s="14" t="n">
        <f aca="false">Допущения!$B$35</f>
        <v>2500</v>
      </c>
      <c r="D25" s="14" t="n">
        <f aca="false">Допущения!$B$35</f>
        <v>2500</v>
      </c>
      <c r="E25" s="14" t="n">
        <f aca="false">Допущения!$B$35</f>
        <v>2500</v>
      </c>
      <c r="F25" s="14" t="n">
        <f aca="false">Допущения!$B$35</f>
        <v>2500</v>
      </c>
      <c r="G25" s="14" t="n">
        <f aca="false">Допущения!$B$35</f>
        <v>2500</v>
      </c>
      <c r="H25" s="14" t="n">
        <f aca="false">Допущения!$B$35</f>
        <v>2500</v>
      </c>
      <c r="I25" s="14" t="n">
        <f aca="false">Допущения!$B$35</f>
        <v>2500</v>
      </c>
      <c r="J25" s="14" t="n">
        <f aca="false">Допущения!$B$35</f>
        <v>2500</v>
      </c>
      <c r="K25" s="14" t="n">
        <f aca="false">Допущения!$B$35</f>
        <v>2500</v>
      </c>
      <c r="L25" s="14" t="n">
        <f aca="false">Допущения!$B$35</f>
        <v>2500</v>
      </c>
      <c r="M25" s="14" t="n">
        <f aca="false">Допущения!$B$35</f>
        <v>2500</v>
      </c>
      <c r="N25" s="14" t="n">
        <f aca="false">Допущения!$B$35</f>
        <v>2500</v>
      </c>
      <c r="O25" s="14" t="n">
        <f aca="false">Допущения!$B$35</f>
        <v>2500</v>
      </c>
      <c r="P25" s="14" t="n">
        <f aca="false">Допущения!$B$35</f>
        <v>2500</v>
      </c>
      <c r="Q25" s="14" t="n">
        <f aca="false">Допущения!$B$35</f>
        <v>2500</v>
      </c>
      <c r="R25" s="14" t="n">
        <f aca="false">Допущения!$B$35</f>
        <v>2500</v>
      </c>
      <c r="S25" s="14" t="n">
        <f aca="false">Допущения!$B$35</f>
        <v>2500</v>
      </c>
      <c r="T25" s="14" t="n">
        <f aca="false">Допущения!$B$35</f>
        <v>2500</v>
      </c>
      <c r="U25" s="14" t="n">
        <f aca="false">Допущения!$B$35</f>
        <v>2500</v>
      </c>
      <c r="V25" s="14" t="n">
        <f aca="false">Допущения!$B$35</f>
        <v>2500</v>
      </c>
      <c r="W25" s="14" t="n">
        <f aca="false">Допущения!$B$35</f>
        <v>2500</v>
      </c>
      <c r="X25" s="14" t="n">
        <f aca="false">Допущения!$B$35</f>
        <v>2500</v>
      </c>
      <c r="Y25" s="14" t="n">
        <f aca="false">Допущения!$B$35</f>
        <v>2500</v>
      </c>
    </row>
    <row r="26" customFormat="false" ht="15" hidden="false" customHeight="false" outlineLevel="0" collapsed="false">
      <c r="A26" s="20" t="s">
        <v>126</v>
      </c>
      <c r="B26" s="14" t="n">
        <f aca="false">Допущения!$B$36</f>
        <v>7000</v>
      </c>
      <c r="C26" s="14" t="n">
        <f aca="false">Допущения!$B$36</f>
        <v>7000</v>
      </c>
      <c r="D26" s="14" t="n">
        <f aca="false">Допущения!$B$36</f>
        <v>7000</v>
      </c>
      <c r="E26" s="14" t="n">
        <f aca="false">Допущения!$B$36</f>
        <v>7000</v>
      </c>
      <c r="F26" s="14" t="n">
        <f aca="false">Допущения!$B$36</f>
        <v>7000</v>
      </c>
      <c r="G26" s="14" t="n">
        <f aca="false">Допущения!$B$36</f>
        <v>7000</v>
      </c>
      <c r="H26" s="14" t="n">
        <f aca="false">Допущения!$B$36</f>
        <v>7000</v>
      </c>
      <c r="I26" s="14" t="n">
        <f aca="false">Допущения!$B$36</f>
        <v>7000</v>
      </c>
      <c r="J26" s="14" t="n">
        <f aca="false">Допущения!$B$36</f>
        <v>7000</v>
      </c>
      <c r="K26" s="14" t="n">
        <f aca="false">Допущения!$B$36</f>
        <v>7000</v>
      </c>
      <c r="L26" s="14" t="n">
        <f aca="false">Допущения!$B$36</f>
        <v>7000</v>
      </c>
      <c r="M26" s="14" t="n">
        <f aca="false">Допущения!$B$36</f>
        <v>7000</v>
      </c>
      <c r="N26" s="14" t="n">
        <f aca="false">Допущения!$B$36</f>
        <v>7000</v>
      </c>
      <c r="O26" s="14" t="n">
        <f aca="false">Допущения!$B$36</f>
        <v>7000</v>
      </c>
      <c r="P26" s="14" t="n">
        <f aca="false">Допущения!$B$36</f>
        <v>7000</v>
      </c>
      <c r="Q26" s="14" t="n">
        <f aca="false">Допущения!$B$36</f>
        <v>7000</v>
      </c>
      <c r="R26" s="14" t="n">
        <f aca="false">Допущения!$B$36</f>
        <v>7000</v>
      </c>
      <c r="S26" s="14" t="n">
        <f aca="false">Допущения!$B$36</f>
        <v>7000</v>
      </c>
      <c r="T26" s="14" t="n">
        <f aca="false">Допущения!$B$36</f>
        <v>7000</v>
      </c>
      <c r="U26" s="14" t="n">
        <f aca="false">Допущения!$B$36</f>
        <v>7000</v>
      </c>
      <c r="V26" s="14" t="n">
        <f aca="false">Допущения!$B$36</f>
        <v>7000</v>
      </c>
      <c r="W26" s="14" t="n">
        <f aca="false">Допущения!$B$36</f>
        <v>7000</v>
      </c>
      <c r="X26" s="14" t="n">
        <f aca="false">Допущения!$B$36</f>
        <v>7000</v>
      </c>
      <c r="Y26" s="14" t="n">
        <f aca="false">Допущения!$B$36</f>
        <v>7000</v>
      </c>
    </row>
    <row r="27" customFormat="false" ht="15" hidden="false" customHeight="false" outlineLevel="0" collapsed="false">
      <c r="A27" s="20" t="s">
        <v>119</v>
      </c>
      <c r="B27" s="14" t="n">
        <f aca="false">Допущения!$B$32</f>
        <v>1908</v>
      </c>
      <c r="C27" s="14" t="n">
        <f aca="false">Допущения!$B$32</f>
        <v>1908</v>
      </c>
      <c r="D27" s="14" t="n">
        <f aca="false">Допущения!$B$32</f>
        <v>1908</v>
      </c>
      <c r="E27" s="14" t="n">
        <f aca="false">Допущения!$B$32</f>
        <v>1908</v>
      </c>
      <c r="F27" s="14" t="n">
        <f aca="false">Допущения!$B$32</f>
        <v>1908</v>
      </c>
      <c r="G27" s="14" t="n">
        <f aca="false">Допущения!$B$32</f>
        <v>1908</v>
      </c>
      <c r="H27" s="14" t="n">
        <f aca="false">Допущения!$B$32</f>
        <v>1908</v>
      </c>
      <c r="I27" s="14" t="n">
        <f aca="false">Допущения!$B$32</f>
        <v>1908</v>
      </c>
      <c r="J27" s="14" t="n">
        <f aca="false">Допущения!$B$32</f>
        <v>1908</v>
      </c>
      <c r="K27" s="14" t="n">
        <f aca="false">Допущения!$B$32</f>
        <v>1908</v>
      </c>
      <c r="L27" s="14" t="n">
        <f aca="false">Допущения!$B$32</f>
        <v>1908</v>
      </c>
      <c r="M27" s="14" t="n">
        <f aca="false">Допущения!$B$32</f>
        <v>1908</v>
      </c>
      <c r="N27" s="14" t="n">
        <f aca="false">Допущения!$B$32</f>
        <v>1908</v>
      </c>
      <c r="O27" s="14" t="n">
        <f aca="false">Допущения!$B$32</f>
        <v>1908</v>
      </c>
      <c r="P27" s="14" t="n">
        <f aca="false">Допущения!$B$32</f>
        <v>1908</v>
      </c>
      <c r="Q27" s="14" t="n">
        <f aca="false">Допущения!$B$32</f>
        <v>1908</v>
      </c>
      <c r="R27" s="14" t="n">
        <f aca="false">Допущения!$B$32</f>
        <v>1908</v>
      </c>
      <c r="S27" s="14" t="n">
        <f aca="false">Допущения!$B$32</f>
        <v>1908</v>
      </c>
      <c r="T27" s="14" t="n">
        <f aca="false">Допущения!$B$32</f>
        <v>1908</v>
      </c>
      <c r="U27" s="14" t="n">
        <f aca="false">Допущения!$B$32</f>
        <v>1908</v>
      </c>
      <c r="V27" s="14" t="n">
        <f aca="false">Допущения!$B$32</f>
        <v>1908</v>
      </c>
      <c r="W27" s="14" t="n">
        <f aca="false">Допущения!$B$32</f>
        <v>1908</v>
      </c>
      <c r="X27" s="14" t="n">
        <f aca="false">Допущения!$B$32</f>
        <v>1908</v>
      </c>
      <c r="Y27" s="14" t="n">
        <f aca="false">Допущения!$B$32</f>
        <v>1908</v>
      </c>
    </row>
    <row r="28" customFormat="false" ht="15" hidden="false" customHeight="false" outlineLevel="0" collapsed="false">
      <c r="A28" s="20" t="s">
        <v>219</v>
      </c>
      <c r="B28" s="14" t="n">
        <f aca="false">B13*Допущения!$B$24</f>
        <v>0</v>
      </c>
      <c r="C28" s="14" t="n">
        <f aca="false">C13*Допущения!$B$24</f>
        <v>0</v>
      </c>
      <c r="D28" s="14" t="n">
        <f aca="false">D13*Допущения!$B$24</f>
        <v>0</v>
      </c>
      <c r="E28" s="14" t="n">
        <f aca="false">E13*Допущения!$B$24</f>
        <v>800</v>
      </c>
      <c r="F28" s="14" t="n">
        <f aca="false">F13*Допущения!$B$24</f>
        <v>1586.66666666667</v>
      </c>
      <c r="G28" s="14" t="n">
        <f aca="false">G13*Допущения!$B$24</f>
        <v>2360.22222222222</v>
      </c>
      <c r="H28" s="14" t="n">
        <f aca="false">H13*Допущения!$B$24</f>
        <v>3120.88518518519</v>
      </c>
      <c r="I28" s="14" t="n">
        <f aca="false">I13*Допущения!$B$24</f>
        <v>3868.87043209877</v>
      </c>
      <c r="J28" s="14" t="n">
        <f aca="false">J13*Допущения!$B$24</f>
        <v>4604.38925823045</v>
      </c>
      <c r="K28" s="14" t="n">
        <f aca="false">K13*Допущения!$B$24</f>
        <v>5327.64943725994</v>
      </c>
      <c r="L28" s="14" t="n">
        <f aca="false">L13*Допущения!$B$24</f>
        <v>6038.85527997228</v>
      </c>
      <c r="M28" s="14" t="n">
        <f aca="false">M13*Допущения!$B$24</f>
        <v>6738.20769197274</v>
      </c>
      <c r="N28" s="14" t="n">
        <f aca="false">N13*Допущения!$B$24</f>
        <v>7425.90423043986</v>
      </c>
      <c r="O28" s="14" t="n">
        <f aca="false">O13*Допущения!$B$24</f>
        <v>8102.13915993253</v>
      </c>
      <c r="P28" s="14" t="n">
        <f aca="false">P13*Допущения!$B$24</f>
        <v>8767.10350726699</v>
      </c>
      <c r="Q28" s="14" t="n">
        <f aca="false">Q13*Допущения!$B$24</f>
        <v>9420.9851154792</v>
      </c>
      <c r="R28" s="14" t="n">
        <f aca="false">R13*Допущения!$B$24</f>
        <v>10063.9686968879</v>
      </c>
      <c r="S28" s="14" t="n">
        <f aca="false">S13*Допущения!$B$24</f>
        <v>10696.2358852731</v>
      </c>
      <c r="T28" s="14" t="n">
        <f aca="false">T13*Допущения!$B$24</f>
        <v>11317.9652871852</v>
      </c>
      <c r="U28" s="14" t="n">
        <f aca="false">U13*Допущения!$B$24</f>
        <v>11929.3325323988</v>
      </c>
      <c r="V28" s="14" t="n">
        <f aca="false">V13*Допущения!$B$24</f>
        <v>12530.5103235255</v>
      </c>
      <c r="W28" s="14" t="n">
        <f aca="false">W13*Допущения!$B$24</f>
        <v>13121.6684848</v>
      </c>
      <c r="X28" s="14" t="n">
        <f aca="false">X13*Допущения!$B$24</f>
        <v>13702.9740100534</v>
      </c>
      <c r="Y28" s="14" t="n">
        <f aca="false">Y13*Допущения!$B$24</f>
        <v>14274.5911098858</v>
      </c>
    </row>
    <row r="29" customFormat="false" ht="15" hidden="false" customHeight="false" outlineLevel="0" collapsed="false">
      <c r="A29" s="20" t="s">
        <v>220</v>
      </c>
      <c r="B29" s="14" t="n">
        <f aca="false">Допущения!$B$37</f>
        <v>10000</v>
      </c>
      <c r="C29" s="14" t="n">
        <f aca="false">Допущения!$B$37</f>
        <v>10000</v>
      </c>
      <c r="D29" s="14" t="n">
        <f aca="false">Допущения!$B$37</f>
        <v>10000</v>
      </c>
      <c r="E29" s="14" t="n">
        <f aca="false">Допущения!$B$37</f>
        <v>10000</v>
      </c>
      <c r="F29" s="14" t="n">
        <f aca="false">Допущения!$B$37</f>
        <v>10000</v>
      </c>
      <c r="G29" s="14" t="n">
        <f aca="false">Допущения!$B$37</f>
        <v>10000</v>
      </c>
      <c r="H29" s="14" t="n">
        <f aca="false">Допущения!$B$37</f>
        <v>10000</v>
      </c>
      <c r="I29" s="14" t="n">
        <f aca="false">Допущения!$B$37</f>
        <v>10000</v>
      </c>
      <c r="J29" s="14" t="n">
        <f aca="false">Допущения!$B$37</f>
        <v>10000</v>
      </c>
      <c r="K29" s="14" t="n">
        <f aca="false">Допущения!$B$37</f>
        <v>10000</v>
      </c>
      <c r="L29" s="14" t="n">
        <f aca="false">Допущения!$B$37</f>
        <v>10000</v>
      </c>
      <c r="M29" s="14" t="n">
        <f aca="false">Допущения!$B$37</f>
        <v>10000</v>
      </c>
      <c r="N29" s="14" t="n">
        <f aca="false">Допущения!$B$37</f>
        <v>10000</v>
      </c>
      <c r="O29" s="14" t="n">
        <f aca="false">Допущения!$B$37</f>
        <v>10000</v>
      </c>
      <c r="P29" s="14" t="n">
        <f aca="false">Допущения!$B$37</f>
        <v>10000</v>
      </c>
      <c r="Q29" s="14" t="n">
        <f aca="false">Допущения!$B$37</f>
        <v>10000</v>
      </c>
      <c r="R29" s="14" t="n">
        <f aca="false">Допущения!$B$37</f>
        <v>10000</v>
      </c>
      <c r="S29" s="14" t="n">
        <f aca="false">Допущения!$B$37</f>
        <v>10000</v>
      </c>
      <c r="T29" s="14" t="n">
        <f aca="false">Допущения!$B$37</f>
        <v>10000</v>
      </c>
      <c r="U29" s="14" t="n">
        <f aca="false">Допущения!$B$37</f>
        <v>10000</v>
      </c>
      <c r="V29" s="14" t="n">
        <f aca="false">Допущения!$B$37</f>
        <v>10000</v>
      </c>
      <c r="W29" s="14" t="n">
        <f aca="false">Допущения!$B$37</f>
        <v>10000</v>
      </c>
      <c r="X29" s="14" t="n">
        <f aca="false">Допущения!$B$37</f>
        <v>10000</v>
      </c>
      <c r="Y29" s="14" t="n">
        <f aca="false">Допущения!$B$37</f>
        <v>10000</v>
      </c>
    </row>
    <row r="30" customFormat="false" ht="15" hidden="false" customHeight="false" outlineLevel="0" collapsed="false">
      <c r="A30" s="20" t="s">
        <v>130</v>
      </c>
      <c r="B30" s="14" t="n">
        <f aca="false">Допущения!$B$38</f>
        <v>30000</v>
      </c>
      <c r="C30" s="14" t="n">
        <f aca="false">Допущения!$B$38</f>
        <v>30000</v>
      </c>
      <c r="D30" s="14" t="n">
        <f aca="false">Допущения!$B$38</f>
        <v>30000</v>
      </c>
      <c r="E30" s="14" t="n">
        <f aca="false">Допущения!$B$38</f>
        <v>30000</v>
      </c>
      <c r="F30" s="14" t="n">
        <f aca="false">Допущения!$B$38</f>
        <v>30000</v>
      </c>
      <c r="G30" s="14" t="n">
        <f aca="false">Допущения!$B$38</f>
        <v>30000</v>
      </c>
      <c r="H30" s="14" t="n">
        <f aca="false">Допущения!$B$38</f>
        <v>30000</v>
      </c>
      <c r="I30" s="14" t="n">
        <f aca="false">Допущения!$B$38</f>
        <v>30000</v>
      </c>
      <c r="J30" s="14" t="n">
        <f aca="false">Допущения!$B$38</f>
        <v>30000</v>
      </c>
      <c r="K30" s="14" t="n">
        <f aca="false">Допущения!$B$38</f>
        <v>30000</v>
      </c>
      <c r="L30" s="14" t="n">
        <f aca="false">Допущения!$B$38</f>
        <v>30000</v>
      </c>
      <c r="M30" s="14" t="n">
        <f aca="false">Допущения!$B$38</f>
        <v>30000</v>
      </c>
      <c r="N30" s="14" t="n">
        <f aca="false">Допущения!$B$38</f>
        <v>30000</v>
      </c>
      <c r="O30" s="14" t="n">
        <f aca="false">Допущения!$B$38</f>
        <v>30000</v>
      </c>
      <c r="P30" s="14" t="n">
        <f aca="false">Допущения!$B$38</f>
        <v>30000</v>
      </c>
      <c r="Q30" s="14" t="n">
        <f aca="false">Допущения!$B$38</f>
        <v>30000</v>
      </c>
      <c r="R30" s="14" t="n">
        <f aca="false">Допущения!$B$38</f>
        <v>30000</v>
      </c>
      <c r="S30" s="14" t="n">
        <f aca="false">Допущения!$B$38</f>
        <v>30000</v>
      </c>
      <c r="T30" s="14" t="n">
        <f aca="false">Допущения!$B$38</f>
        <v>30000</v>
      </c>
      <c r="U30" s="14" t="n">
        <f aca="false">Допущения!$B$38</f>
        <v>30000</v>
      </c>
      <c r="V30" s="14" t="n">
        <f aca="false">Допущения!$B$38</f>
        <v>30000</v>
      </c>
      <c r="W30" s="14" t="n">
        <f aca="false">Допущения!$B$38</f>
        <v>30000</v>
      </c>
      <c r="X30" s="14" t="n">
        <f aca="false">Допущения!$B$38</f>
        <v>30000</v>
      </c>
      <c r="Y30" s="14" t="n">
        <f aca="false">Допущения!$B$38</f>
        <v>30000</v>
      </c>
    </row>
    <row r="31" customFormat="false" ht="15" hidden="false" customHeight="false" outlineLevel="0" collapsed="false">
      <c r="A31" s="20" t="s">
        <v>132</v>
      </c>
      <c r="B31" s="14" t="n">
        <f aca="false">Допущения!$B$39</f>
        <v>8000</v>
      </c>
      <c r="C31" s="14" t="n">
        <f aca="false">Допущения!$B$39</f>
        <v>8000</v>
      </c>
      <c r="D31" s="14" t="n">
        <f aca="false">Допущения!$B$39</f>
        <v>8000</v>
      </c>
      <c r="E31" s="14" t="n">
        <f aca="false">Допущения!$B$39</f>
        <v>8000</v>
      </c>
      <c r="F31" s="14" t="n">
        <f aca="false">Допущения!$B$39</f>
        <v>8000</v>
      </c>
      <c r="G31" s="14" t="n">
        <f aca="false">Допущения!$B$39</f>
        <v>8000</v>
      </c>
      <c r="H31" s="14" t="n">
        <f aca="false">Допущения!$B$39</f>
        <v>8000</v>
      </c>
      <c r="I31" s="14" t="n">
        <f aca="false">Допущения!$B$39</f>
        <v>8000</v>
      </c>
      <c r="J31" s="14" t="n">
        <f aca="false">Допущения!$B$39</f>
        <v>8000</v>
      </c>
      <c r="K31" s="14" t="n">
        <f aca="false">Допущения!$B$39</f>
        <v>8000</v>
      </c>
      <c r="L31" s="14" t="n">
        <f aca="false">Допущения!$B$39</f>
        <v>8000</v>
      </c>
      <c r="M31" s="14" t="n">
        <f aca="false">Допущения!$B$39</f>
        <v>8000</v>
      </c>
      <c r="N31" s="14" t="n">
        <f aca="false">Допущения!$B$39</f>
        <v>8000</v>
      </c>
      <c r="O31" s="14" t="n">
        <f aca="false">Допущения!$B$39</f>
        <v>8000</v>
      </c>
      <c r="P31" s="14" t="n">
        <f aca="false">Допущения!$B$39</f>
        <v>8000</v>
      </c>
      <c r="Q31" s="14" t="n">
        <f aca="false">Допущения!$B$39</f>
        <v>8000</v>
      </c>
      <c r="R31" s="14" t="n">
        <f aca="false">Допущения!$B$39</f>
        <v>8000</v>
      </c>
      <c r="S31" s="14" t="n">
        <f aca="false">Допущения!$B$39</f>
        <v>8000</v>
      </c>
      <c r="T31" s="14" t="n">
        <f aca="false">Допущения!$B$39</f>
        <v>8000</v>
      </c>
      <c r="U31" s="14" t="n">
        <f aca="false">Допущения!$B$39</f>
        <v>8000</v>
      </c>
      <c r="V31" s="14" t="n">
        <f aca="false">Допущения!$B$39</f>
        <v>8000</v>
      </c>
      <c r="W31" s="14" t="n">
        <f aca="false">Допущения!$B$39</f>
        <v>8000</v>
      </c>
      <c r="X31" s="14" t="n">
        <f aca="false">Допущения!$B$39</f>
        <v>8000</v>
      </c>
      <c r="Y31" s="14" t="n">
        <f aca="false">Допущения!$B$39</f>
        <v>8000</v>
      </c>
    </row>
    <row r="32" customFormat="false" ht="15" hidden="false" customHeight="false" outlineLevel="0" collapsed="false">
      <c r="A32" s="20" t="s">
        <v>221</v>
      </c>
      <c r="B32" s="14" t="n">
        <f aca="false">B19*Допущения!$B$54</f>
        <v>0</v>
      </c>
      <c r="C32" s="14" t="n">
        <f aca="false">C19*Допущения!$B$54</f>
        <v>0</v>
      </c>
      <c r="D32" s="14" t="n">
        <f aca="false">D19*Допущения!$B$54</f>
        <v>138.402</v>
      </c>
      <c r="E32" s="14" t="n">
        <f aca="false">E19*Допущения!$B$54</f>
        <v>3286.008902625</v>
      </c>
      <c r="F32" s="14" t="n">
        <f aca="false">F19*Допущения!$B$54</f>
        <v>3421.2024304295</v>
      </c>
      <c r="G32" s="14" t="n">
        <f aca="false">G19*Допущения!$B$54</f>
        <v>3544.52181132305</v>
      </c>
      <c r="H32" s="14" t="n">
        <f aca="false">H19*Допущения!$B$54</f>
        <v>3657.32980906418</v>
      </c>
      <c r="I32" s="14" t="n">
        <f aca="false">I19*Допущения!$B$54</f>
        <v>3760.82721978832</v>
      </c>
      <c r="J32" s="14" t="n">
        <f aca="false">J19*Допущения!$B$54</f>
        <v>3905.37508603258</v>
      </c>
      <c r="K32" s="14" t="n">
        <f aca="false">K19*Допущения!$B$54</f>
        <v>4022.35865654063</v>
      </c>
      <c r="L32" s="14" t="n">
        <f aca="false">L19*Допущения!$B$54</f>
        <v>4130.38319052763</v>
      </c>
      <c r="M32" s="14" t="n">
        <f aca="false">M19*Допущения!$B$54</f>
        <v>4287.10592786882</v>
      </c>
      <c r="N32" s="14" t="n">
        <f aca="false">N19*Допущения!$B$54</f>
        <v>4409.12140382068</v>
      </c>
      <c r="O32" s="14" t="n">
        <f aca="false">O19*Допущения!$B$54</f>
        <v>4522.46731271004</v>
      </c>
      <c r="P32" s="14" t="n">
        <f aca="false">P19*Допущения!$B$54</f>
        <v>4692.10608151417</v>
      </c>
      <c r="Q32" s="14" t="n">
        <f aca="false">Q19*Допущения!$B$54</f>
        <v>4819.8485157986</v>
      </c>
      <c r="R32" s="14" t="n">
        <f aca="false">R19*Допущения!$B$54</f>
        <v>5008.07598321326</v>
      </c>
      <c r="S32" s="14" t="n">
        <f aca="false">S19*Допущения!$B$54</f>
        <v>5148.8368568389</v>
      </c>
      <c r="T32" s="14" t="n">
        <f aca="false">T19*Допущения!$B$54</f>
        <v>5354.45643601674</v>
      </c>
      <c r="U32" s="14" t="n">
        <f aca="false">U19*Допущения!$B$54</f>
        <v>5583.45472406495</v>
      </c>
      <c r="V32" s="14" t="n">
        <f aca="false">V19*Допущения!$B$54</f>
        <v>5755.76014891094</v>
      </c>
      <c r="W32" s="14" t="n">
        <f aca="false">W19*Допущения!$B$54</f>
        <v>5998.70277950349</v>
      </c>
      <c r="X32" s="14" t="n">
        <f aca="false">X19*Допущения!$B$54</f>
        <v>6263.55768541994</v>
      </c>
      <c r="Y32" s="14" t="n">
        <f aca="false">Y19*Допущения!$B$54</f>
        <v>6549.17186324766</v>
      </c>
    </row>
    <row r="33" customFormat="false" ht="15" hidden="false" customHeight="false" outlineLevel="0" collapsed="false">
      <c r="A33" s="20" t="s">
        <v>222</v>
      </c>
      <c r="B33" s="14" t="n">
        <f aca="false">B18*Допущения!$B$10/2</f>
        <v>0</v>
      </c>
      <c r="C33" s="14" t="n">
        <f aca="false">C18*Допущения!$B$10/2</f>
        <v>0</v>
      </c>
      <c r="D33" s="14" t="n">
        <f aca="false">D18*Допущения!$B$10/2</f>
        <v>18.15</v>
      </c>
      <c r="E33" s="14" t="n">
        <f aca="false">E18*Допущения!$B$10/2</f>
        <v>34.03125</v>
      </c>
      <c r="F33" s="14" t="n">
        <f aca="false">F18*Допущения!$B$10/2</f>
        <v>45.375</v>
      </c>
      <c r="G33" s="14" t="n">
        <f aca="false">G18*Допущения!$B$10/2</f>
        <v>56.71875</v>
      </c>
      <c r="H33" s="14" t="n">
        <f aca="false">H18*Допущения!$B$10/2</f>
        <v>68.0625</v>
      </c>
      <c r="I33" s="14" t="n">
        <f aca="false">I18*Допущения!$B$10/2</f>
        <v>79.40625</v>
      </c>
      <c r="J33" s="14" t="n">
        <f aca="false">J18*Допущения!$B$10/2</f>
        <v>108.9</v>
      </c>
      <c r="K33" s="14" t="n">
        <f aca="false">K18*Допущения!$B$10/2</f>
        <v>122.5125</v>
      </c>
      <c r="L33" s="14" t="n">
        <f aca="false">L18*Допущения!$B$10/2</f>
        <v>136.125</v>
      </c>
      <c r="M33" s="14" t="n">
        <f aca="false">M18*Допущения!$B$10/2</f>
        <v>174.69375</v>
      </c>
      <c r="N33" s="14" t="n">
        <f aca="false">N18*Допущения!$B$10/2</f>
        <v>190.575</v>
      </c>
      <c r="O33" s="14" t="n">
        <f aca="false">O18*Допущения!$B$10/2</f>
        <v>206.45625</v>
      </c>
      <c r="P33" s="14" t="n">
        <f aca="false">P18*Допущения!$B$10/2</f>
        <v>254.1</v>
      </c>
      <c r="Q33" s="14" t="n">
        <f aca="false">Q18*Допущения!$B$10/2</f>
        <v>272.25</v>
      </c>
      <c r="R33" s="14" t="n">
        <f aca="false">R18*Допущения!$B$10/2</f>
        <v>326.7</v>
      </c>
      <c r="S33" s="14" t="n">
        <f aca="false">S18*Допущения!$B$10/2</f>
        <v>347.11875</v>
      </c>
      <c r="T33" s="14" t="n">
        <f aca="false">T18*Допущения!$B$10/2</f>
        <v>408.375</v>
      </c>
      <c r="U33" s="14" t="n">
        <f aca="false">U18*Допущения!$B$10/2</f>
        <v>474.16875</v>
      </c>
      <c r="V33" s="14" t="n">
        <f aca="false">V18*Допущения!$B$10/2</f>
        <v>499.125</v>
      </c>
      <c r="W33" s="14" t="n">
        <f aca="false">W18*Допущения!$B$10/2</f>
        <v>571.725</v>
      </c>
      <c r="X33" s="14" t="n">
        <f aca="false">X18*Допущения!$B$10/2</f>
        <v>648.8625</v>
      </c>
      <c r="Y33" s="14" t="n">
        <f aca="false">Y18*Допущения!$B$10/2</f>
        <v>730.5375</v>
      </c>
    </row>
    <row r="34" customFormat="false" ht="15" hidden="false" customHeight="false" outlineLevel="0" collapsed="false">
      <c r="A34" s="20" t="s">
        <v>223</v>
      </c>
      <c r="B34" s="14" t="n">
        <f aca="false">Допущения!$B$41</f>
        <v>0</v>
      </c>
      <c r="C34" s="14" t="n">
        <f aca="false">Допущения!$B$41</f>
        <v>0</v>
      </c>
      <c r="D34" s="14" t="n">
        <f aca="false">Допущения!$B$41</f>
        <v>0</v>
      </c>
      <c r="E34" s="14" t="n">
        <f aca="false">Допущения!$B$41</f>
        <v>0</v>
      </c>
      <c r="F34" s="14" t="n">
        <f aca="false">Допущения!$B$41</f>
        <v>0</v>
      </c>
      <c r="G34" s="14" t="n">
        <f aca="false">Допущения!$B$41</f>
        <v>0</v>
      </c>
      <c r="H34" s="14" t="n">
        <f aca="false">Допущения!$B$41</f>
        <v>0</v>
      </c>
      <c r="I34" s="14" t="n">
        <f aca="false">Допущения!$B$41</f>
        <v>0</v>
      </c>
      <c r="J34" s="14" t="n">
        <f aca="false">Допущения!$B$41</f>
        <v>0</v>
      </c>
      <c r="K34" s="14" t="n">
        <f aca="false">Допущения!$B$41</f>
        <v>0</v>
      </c>
      <c r="L34" s="14" t="n">
        <f aca="false">Допущения!$B$41</f>
        <v>0</v>
      </c>
      <c r="M34" s="14" t="n">
        <f aca="false">Допущения!$B$41</f>
        <v>0</v>
      </c>
      <c r="N34" s="14" t="n">
        <f aca="false">Допущения!$B$41</f>
        <v>0</v>
      </c>
      <c r="O34" s="14" t="n">
        <f aca="false">Допущения!$B$41</f>
        <v>0</v>
      </c>
      <c r="P34" s="14" t="n">
        <f aca="false">Допущения!$B$41</f>
        <v>0</v>
      </c>
      <c r="Q34" s="14" t="n">
        <f aca="false">Допущения!$B$41</f>
        <v>0</v>
      </c>
      <c r="R34" s="14" t="n">
        <f aca="false">Допущения!$B$41</f>
        <v>0</v>
      </c>
      <c r="S34" s="14" t="n">
        <f aca="false">Допущения!$B$41</f>
        <v>0</v>
      </c>
      <c r="T34" s="14" t="n">
        <f aca="false">Допущения!$B$41</f>
        <v>0</v>
      </c>
      <c r="U34" s="14" t="n">
        <f aca="false">Допущения!$B$41</f>
        <v>0</v>
      </c>
      <c r="V34" s="14" t="n">
        <f aca="false">Допущения!$B$41</f>
        <v>0</v>
      </c>
      <c r="W34" s="14" t="n">
        <f aca="false">Допущения!$B$41</f>
        <v>0</v>
      </c>
      <c r="X34" s="14" t="n">
        <f aca="false">Допущения!$B$41</f>
        <v>0</v>
      </c>
      <c r="Y34" s="14" t="n">
        <f aca="false">Допущения!$B$41</f>
        <v>0</v>
      </c>
    </row>
    <row r="35" customFormat="false" ht="15" hidden="false" customHeight="false" outlineLevel="0" collapsed="false">
      <c r="A35" s="20" t="s">
        <v>224</v>
      </c>
      <c r="B35" s="14" t="n">
        <f aca="false">Допущения!$B$42</f>
        <v>0</v>
      </c>
      <c r="C35" s="14" t="n">
        <f aca="false">Допущения!$B$42</f>
        <v>0</v>
      </c>
      <c r="D35" s="14" t="n">
        <f aca="false">Допущения!$B$42</f>
        <v>0</v>
      </c>
      <c r="E35" s="14" t="n">
        <f aca="false">Допущения!$B$42</f>
        <v>0</v>
      </c>
      <c r="F35" s="14" t="n">
        <f aca="false">Допущения!$B$42</f>
        <v>0</v>
      </c>
      <c r="G35" s="14" t="n">
        <f aca="false">Допущения!$B$42</f>
        <v>0</v>
      </c>
      <c r="H35" s="14" t="n">
        <f aca="false">Допущения!$B$42</f>
        <v>0</v>
      </c>
      <c r="I35" s="14" t="n">
        <f aca="false">Допущения!$B$42</f>
        <v>0</v>
      </c>
      <c r="J35" s="14" t="n">
        <f aca="false">Допущения!$B$42</f>
        <v>0</v>
      </c>
      <c r="K35" s="14" t="n">
        <f aca="false">Допущения!$B$42</f>
        <v>0</v>
      </c>
      <c r="L35" s="14" t="n">
        <f aca="false">Допущения!$B$42</f>
        <v>0</v>
      </c>
      <c r="M35" s="14" t="n">
        <f aca="false">Допущения!$B$42</f>
        <v>0</v>
      </c>
      <c r="N35" s="14" t="n">
        <f aca="false">Допущения!$B$42</f>
        <v>0</v>
      </c>
      <c r="O35" s="14" t="n">
        <f aca="false">Допущения!$B$42</f>
        <v>0</v>
      </c>
      <c r="P35" s="14" t="n">
        <f aca="false">Допущения!$B$42</f>
        <v>0</v>
      </c>
      <c r="Q35" s="14" t="n">
        <f aca="false">Допущения!$B$42</f>
        <v>0</v>
      </c>
      <c r="R35" s="14" t="n">
        <f aca="false">Допущения!$B$42</f>
        <v>0</v>
      </c>
      <c r="S35" s="14" t="n">
        <f aca="false">Допущения!$B$42</f>
        <v>0</v>
      </c>
      <c r="T35" s="14" t="n">
        <f aca="false">Допущения!$B$42</f>
        <v>0</v>
      </c>
      <c r="U35" s="14" t="n">
        <f aca="false">Допущения!$B$42</f>
        <v>0</v>
      </c>
      <c r="V35" s="14" t="n">
        <f aca="false">Допущения!$B$42</f>
        <v>0</v>
      </c>
      <c r="W35" s="14" t="n">
        <f aca="false">Допущения!$B$42</f>
        <v>0</v>
      </c>
      <c r="X35" s="14" t="n">
        <f aca="false">Допущения!$B$42</f>
        <v>0</v>
      </c>
      <c r="Y35" s="14" t="n">
        <f aca="false">Допущения!$B$42</f>
        <v>0</v>
      </c>
    </row>
    <row r="36" customFormat="false" ht="15" hidden="false" customHeight="false" outlineLevel="0" collapsed="false">
      <c r="A36" s="20" t="s">
        <v>225</v>
      </c>
      <c r="B36" s="14" t="n">
        <f aca="false">IF(1&lt;=Допущения!$B$43,0,IF(1&lt;=Допущения!$B$45,Допущения!$B$44,Допущения!$B$46))</f>
        <v>0</v>
      </c>
      <c r="C36" s="14" t="n">
        <f aca="false">IF(2&lt;=Допущения!$B$43,0,IF(2&lt;=Допущения!$B$45,Допущения!$B$44,Допущения!$B$46))</f>
        <v>0</v>
      </c>
      <c r="D36" s="14" t="n">
        <f aca="false">IF(3&lt;=Допущения!$B$43,0,IF(3&lt;=Допущения!$B$45,Допущения!$B$44,Допущения!$B$46))</f>
        <v>0</v>
      </c>
      <c r="E36" s="14" t="n">
        <f aca="false">IF(4&lt;=Допущения!$B$43,0,IF(4&lt;=Допущения!$B$45,Допущения!$B$44,Допущения!$B$46))</f>
        <v>0</v>
      </c>
      <c r="F36" s="14" t="n">
        <f aca="false">IF(5&lt;=Допущения!$B$43,0,IF(5&lt;=Допущения!$B$45,Допущения!$B$44,Допущения!$B$46))</f>
        <v>0</v>
      </c>
      <c r="G36" s="14" t="n">
        <f aca="false">IF(6&lt;=Допущения!$B$43,0,IF(6&lt;=Допущения!$B$45,Допущения!$B$44,Допущения!$B$46))</f>
        <v>0</v>
      </c>
      <c r="H36" s="14" t="n">
        <f aca="false">IF(7&lt;=Допущения!$B$43,0,IF(7&lt;=Допущения!$B$45,Допущения!$B$44,Допущения!$B$46))</f>
        <v>50000</v>
      </c>
      <c r="I36" s="14" t="n">
        <f aca="false">IF(8&lt;=Допущения!$B$43,0,IF(8&lt;=Допущения!$B$45,Допущения!$B$44,Допущения!$B$46))</f>
        <v>50000</v>
      </c>
      <c r="J36" s="14" t="n">
        <f aca="false">IF(9&lt;=Допущения!$B$43,0,IF(9&lt;=Допущения!$B$45,Допущения!$B$44,Допущения!$B$46))</f>
        <v>50000</v>
      </c>
      <c r="K36" s="14" t="n">
        <f aca="false">IF(10&lt;=Допущения!$B$43,0,IF(10&lt;=Допущения!$B$45,Допущения!$B$44,Допущения!$B$46))</f>
        <v>50000</v>
      </c>
      <c r="L36" s="14" t="n">
        <f aca="false">IF(11&lt;=Допущения!$B$43,0,IF(11&lt;=Допущения!$B$45,Допущения!$B$44,Допущения!$B$46))</f>
        <v>50000</v>
      </c>
      <c r="M36" s="14" t="n">
        <f aca="false">IF(12&lt;=Допущения!$B$43,0,IF(12&lt;=Допущения!$B$45,Допущения!$B$44,Допущения!$B$46))</f>
        <v>50000</v>
      </c>
      <c r="N36" s="14" t="n">
        <f aca="false">IF(13&lt;=Допущения!$B$43,0,IF(13&lt;=Допущения!$B$45,Допущения!$B$44,Допущения!$B$46))</f>
        <v>100000</v>
      </c>
      <c r="O36" s="14" t="n">
        <f aca="false">IF(14&lt;=Допущения!$B$43,0,IF(14&lt;=Допущения!$B$45,Допущения!$B$44,Допущения!$B$46))</f>
        <v>100000</v>
      </c>
      <c r="P36" s="14" t="n">
        <f aca="false">IF(15&lt;=Допущения!$B$43,0,IF(15&lt;=Допущения!$B$45,Допущения!$B$44,Допущения!$B$46))</f>
        <v>100000</v>
      </c>
      <c r="Q36" s="14" t="n">
        <f aca="false">IF(16&lt;=Допущения!$B$43,0,IF(16&lt;=Допущения!$B$45,Допущения!$B$44,Допущения!$B$46))</f>
        <v>100000</v>
      </c>
      <c r="R36" s="14" t="n">
        <f aca="false">IF(17&lt;=Допущения!$B$43,0,IF(17&lt;=Допущения!$B$45,Допущения!$B$44,Допущения!$B$46))</f>
        <v>100000</v>
      </c>
      <c r="S36" s="14" t="n">
        <f aca="false">IF(18&lt;=Допущения!$B$43,0,IF(18&lt;=Допущения!$B$45,Допущения!$B$44,Допущения!$B$46))</f>
        <v>100000</v>
      </c>
      <c r="T36" s="14" t="n">
        <f aca="false">IF(19&lt;=Допущения!$B$43,0,IF(19&lt;=Допущения!$B$45,Допущения!$B$44,Допущения!$B$46))</f>
        <v>100000</v>
      </c>
      <c r="U36" s="14" t="n">
        <f aca="false">IF(20&lt;=Допущения!$B$43,0,IF(20&lt;=Допущения!$B$45,Допущения!$B$44,Допущения!$B$46))</f>
        <v>100000</v>
      </c>
      <c r="V36" s="14" t="n">
        <f aca="false">IF(21&lt;=Допущения!$B$43,0,IF(21&lt;=Допущения!$B$45,Допущения!$B$44,Допущения!$B$46))</f>
        <v>100000</v>
      </c>
      <c r="W36" s="14" t="n">
        <f aca="false">IF(22&lt;=Допущения!$B$43,0,IF(22&lt;=Допущения!$B$45,Допущения!$B$44,Допущения!$B$46))</f>
        <v>100000</v>
      </c>
      <c r="X36" s="14" t="n">
        <f aca="false">IF(23&lt;=Допущения!$B$43,0,IF(23&lt;=Допущения!$B$45,Допущения!$B$44,Допущения!$B$46))</f>
        <v>100000</v>
      </c>
      <c r="Y36" s="14" t="n">
        <f aca="false">IF(24&lt;=Допущения!$B$43,0,IF(24&lt;=Допущения!$B$45,Допущения!$B$44,Допущения!$B$46))</f>
        <v>100000</v>
      </c>
      <c r="Z36" s="7" t="s">
        <v>226</v>
      </c>
    </row>
    <row r="37" customFormat="false" ht="15" hidden="false" customHeight="false" outlineLevel="0" collapsed="false">
      <c r="A37" s="20" t="s">
        <v>227</v>
      </c>
      <c r="B37" s="14" t="n">
        <f aca="false">Допущения!$B$52/12</f>
        <v>246.583333333333</v>
      </c>
      <c r="C37" s="14" t="n">
        <f aca="false">Допущения!$B$52/12</f>
        <v>246.583333333333</v>
      </c>
      <c r="D37" s="14" t="n">
        <f aca="false">Допущения!$B$52/12</f>
        <v>246.583333333333</v>
      </c>
      <c r="E37" s="14" t="n">
        <f aca="false">Допущения!$B$52/12</f>
        <v>246.583333333333</v>
      </c>
      <c r="F37" s="14" t="n">
        <f aca="false">Допущения!$B$52/12</f>
        <v>246.583333333333</v>
      </c>
      <c r="G37" s="14" t="n">
        <f aca="false">Допущения!$B$52/12</f>
        <v>246.583333333333</v>
      </c>
      <c r="H37" s="14" t="n">
        <f aca="false">Допущения!$B$52/12</f>
        <v>246.583333333333</v>
      </c>
      <c r="I37" s="14" t="n">
        <f aca="false">Допущения!$B$52/12</f>
        <v>246.583333333333</v>
      </c>
      <c r="J37" s="14" t="n">
        <f aca="false">Допущения!$B$52/12</f>
        <v>246.583333333333</v>
      </c>
      <c r="K37" s="14" t="n">
        <f aca="false">Допущения!$B$52/12</f>
        <v>246.583333333333</v>
      </c>
      <c r="L37" s="14" t="n">
        <f aca="false">Допущения!$B$52/12</f>
        <v>246.583333333333</v>
      </c>
      <c r="M37" s="14" t="n">
        <f aca="false">Допущения!$B$52/12</f>
        <v>246.583333333333</v>
      </c>
      <c r="N37" s="14" t="n">
        <f aca="false">Допущения!$B$52/12</f>
        <v>246.583333333333</v>
      </c>
      <c r="O37" s="14" t="n">
        <f aca="false">Допущения!$B$52/12</f>
        <v>246.583333333333</v>
      </c>
      <c r="P37" s="14" t="n">
        <f aca="false">Допущения!$B$52/12</f>
        <v>246.583333333333</v>
      </c>
      <c r="Q37" s="14" t="n">
        <f aca="false">Допущения!$B$52/12</f>
        <v>246.583333333333</v>
      </c>
      <c r="R37" s="14" t="n">
        <f aca="false">Допущения!$B$52/12</f>
        <v>246.583333333333</v>
      </c>
      <c r="S37" s="14" t="n">
        <f aca="false">Допущения!$B$52/12</f>
        <v>246.583333333333</v>
      </c>
      <c r="T37" s="14" t="n">
        <f aca="false">Допущения!$B$52/12</f>
        <v>246.583333333333</v>
      </c>
      <c r="U37" s="14" t="n">
        <f aca="false">Допущения!$B$52/12</f>
        <v>246.583333333333</v>
      </c>
      <c r="V37" s="14" t="n">
        <f aca="false">Допущения!$B$52/12</f>
        <v>246.583333333333</v>
      </c>
      <c r="W37" s="14" t="n">
        <f aca="false">Допущения!$B$52/12</f>
        <v>246.583333333333</v>
      </c>
      <c r="X37" s="14" t="n">
        <f aca="false">Допущения!$B$52/12</f>
        <v>246.583333333333</v>
      </c>
      <c r="Y37" s="14" t="n">
        <f aca="false">Допущения!$B$52/12</f>
        <v>246.583333333333</v>
      </c>
    </row>
    <row r="38" customFormat="false" ht="15" hidden="false" customHeight="false" outlineLevel="0" collapsed="false">
      <c r="A38" s="28" t="s">
        <v>228</v>
      </c>
      <c r="B38" s="13" t="n">
        <f aca="false">SUM(B21:B37)</f>
        <v>99954.5833333333</v>
      </c>
      <c r="C38" s="13" t="n">
        <f aca="false">SUM(C21:C37)</f>
        <v>99954.5833333333</v>
      </c>
      <c r="D38" s="13" t="n">
        <f aca="false">SUM(D21:D37)</f>
        <v>100159.135333333</v>
      </c>
      <c r="E38" s="13" t="n">
        <f aca="false">SUM(E21:E37)</f>
        <v>104177.955485958</v>
      </c>
      <c r="F38" s="13" t="n">
        <f aca="false">SUM(F21:F37)</f>
        <v>105161.20511443</v>
      </c>
      <c r="G38" s="13" t="n">
        <f aca="false">SUM(G21:G37)</f>
        <v>106114.78901353</v>
      </c>
      <c r="H38" s="13" t="n">
        <f aca="false">SUM(H21:H37)</f>
        <v>157040.822520501</v>
      </c>
      <c r="I38" s="13" t="n">
        <f aca="false">SUM(I21:I37)</f>
        <v>157941.192513043</v>
      </c>
      <c r="J38" s="13" t="n">
        <f aca="false">SUM(J21:J37)</f>
        <v>158897.037466341</v>
      </c>
      <c r="K38" s="13" t="n">
        <f aca="false">SUM(K21:K37)</f>
        <v>159793.186002761</v>
      </c>
      <c r="L38" s="13" t="n">
        <f aca="false">SUM(L21:L37)</f>
        <v>160664.776424257</v>
      </c>
      <c r="M38" s="13" t="n">
        <f aca="false">SUM(M21:M37)</f>
        <v>161607.019393563</v>
      </c>
      <c r="N38" s="13" t="n">
        <f aca="false">SUM(N21:N37)</f>
        <v>212476.346504537</v>
      </c>
      <c r="O38" s="13" t="n">
        <f aca="false">SUM(O21:O37)</f>
        <v>213322.10494279</v>
      </c>
      <c r="P38" s="13" t="n">
        <f aca="false">SUM(P21:P37)</f>
        <v>214253.590475961</v>
      </c>
      <c r="Q38" s="13" t="n">
        <f aca="false">SUM(Q21:Q37)</f>
        <v>215098.848104439</v>
      </c>
      <c r="R38" s="13" t="n">
        <f aca="false">SUM(R21:R37)</f>
        <v>216038.648362663</v>
      </c>
      <c r="S38" s="13" t="n">
        <f aca="false">SUM(S21:S37)</f>
        <v>216882.242715194</v>
      </c>
      <c r="T38" s="13" t="n">
        <f aca="false">SUM(T21:T37)</f>
        <v>217829.43637749</v>
      </c>
      <c r="U38" s="13" t="n">
        <f aca="false">SUM(U21:U37)</f>
        <v>218802.019842913</v>
      </c>
      <c r="V38" s="13" t="n">
        <f aca="false">SUM(V21:V37)</f>
        <v>219662.186734464</v>
      </c>
      <c r="W38" s="13" t="n">
        <f aca="false">SUM(W21:W37)</f>
        <v>220638.419236089</v>
      </c>
      <c r="X38" s="13" t="n">
        <f aca="false">SUM(X21:X37)</f>
        <v>221638.543286122</v>
      </c>
      <c r="Y38" s="13" t="n">
        <f aca="false">SUM(Y21:Y37)</f>
        <v>222661.121916101</v>
      </c>
    </row>
    <row r="39" customFormat="false" ht="15" hidden="false" customHeight="false" outlineLevel="0" collapsed="false">
      <c r="A39" s="3" t="s">
        <v>229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15" hidden="false" customHeight="false" outlineLevel="0" collapsed="false">
      <c r="A40" s="20" t="s">
        <v>230</v>
      </c>
      <c r="B40" s="14" t="n">
        <f aca="false">SUM($B$17:B17)</f>
        <v>0</v>
      </c>
      <c r="C40" s="14" t="n">
        <f aca="false">SUM($B$17:C17)</f>
        <v>0</v>
      </c>
      <c r="D40" s="14" t="n">
        <f aca="false">SUM($B$17:D17)</f>
        <v>3947.9</v>
      </c>
      <c r="E40" s="14" t="n">
        <f aca="false">SUM($E$17:E17)</f>
        <v>16802.4842541667</v>
      </c>
      <c r="F40" s="14" t="n">
        <f aca="false">SUM($E$17:F17)</f>
        <v>45873.5374907056</v>
      </c>
      <c r="G40" s="14" t="n">
        <f aca="false">SUM($E$17:G17)</f>
        <v>86681.0538866592</v>
      </c>
      <c r="H40" s="14" t="n">
        <f aca="false">SUM($E$17:H17)</f>
        <v>138740.624759786</v>
      </c>
      <c r="I40" s="14" t="n">
        <f aca="false">SUM($E$17:I17)</f>
        <v>201610.101786424</v>
      </c>
      <c r="J40" s="14" t="n">
        <f aca="false">SUM($E$17:J17)</f>
        <v>275862.734651197</v>
      </c>
      <c r="K40" s="14" t="n">
        <f aca="false">SUM($E$17:K17)</f>
        <v>361034.587144066</v>
      </c>
      <c r="L40" s="14" t="n">
        <f aca="false">SUM($E$17:L17)</f>
        <v>456701.709843032</v>
      </c>
      <c r="M40" s="14" t="n">
        <f aca="false">SUM($E$17:M17)</f>
        <v>563449.087403126</v>
      </c>
      <c r="N40" s="14" t="n">
        <f aca="false">SUM($E$17:N17)</f>
        <v>680830.513592764</v>
      </c>
      <c r="O40" s="14" t="n">
        <f aca="false">SUM($E$17:O17)</f>
        <v>808437.849866564</v>
      </c>
      <c r="P40" s="14" t="n">
        <f aca="false">SUM($E$17:P17)</f>
        <v>946865.732794665</v>
      </c>
      <c r="Q40" s="14" t="n">
        <f aca="false">SUM($E$17:Q17)</f>
        <v>1095683.84108429</v>
      </c>
      <c r="R40" s="14" t="n">
        <f aca="false">SUM($E$17:R17)</f>
        <v>1255464.04843613</v>
      </c>
      <c r="S40" s="14" t="n">
        <f aca="false">SUM($E$17:S17)</f>
        <v>1425760.54172141</v>
      </c>
      <c r="T40" s="14" t="n">
        <f aca="false">SUM($E$17:T17)</f>
        <v>1607128.35372</v>
      </c>
      <c r="U40" s="14" t="n">
        <f aca="false">SUM($E$17:U17)</f>
        <v>1800072.67647356</v>
      </c>
      <c r="V40" s="14" t="n">
        <f aca="false">SUM($E$17:V17)</f>
        <v>2004095.1950089</v>
      </c>
      <c r="W40" s="14" t="n">
        <f aca="false">SUM($E$17:W17)</f>
        <v>2219699.38294892</v>
      </c>
      <c r="X40" s="14" t="n">
        <f aca="false">SUM($E$17:X17)</f>
        <v>2447346.8481091</v>
      </c>
      <c r="Y40" s="14" t="n">
        <f aca="false">SUM($E$17:Y17)</f>
        <v>2687462.47196388</v>
      </c>
      <c r="Z40" s="7" t="s">
        <v>231</v>
      </c>
    </row>
    <row r="41" customFormat="false" ht="15" hidden="false" customHeight="false" outlineLevel="0" collapsed="false">
      <c r="A41" s="20" t="s">
        <v>232</v>
      </c>
      <c r="B41" s="14" t="n">
        <f aca="false">IF(B40&gt;Допущения!$B$50,B17*Допущения!$B$51,0)</f>
        <v>0</v>
      </c>
      <c r="C41" s="14" t="n">
        <f aca="false">IF(C40&gt;Допущения!$B$50,C17*Допущения!$B$51,0)</f>
        <v>0</v>
      </c>
      <c r="D41" s="14" t="n">
        <f aca="false">IF(D40&gt;Допущения!$B$50,D17*Допущения!$B$51,0)</f>
        <v>0</v>
      </c>
      <c r="E41" s="14" t="n">
        <f aca="false">IF(E40&gt;Допущения!$B$50,E17*Допущения!$B$51,0)</f>
        <v>0</v>
      </c>
      <c r="F41" s="14" t="n">
        <f aca="false">IF(F40&gt;Допущения!$B$50,F17*Допущения!$B$51,0)</f>
        <v>0</v>
      </c>
      <c r="G41" s="14" t="n">
        <f aca="false">IF(G40&gt;Допущения!$B$50,G17*Допущения!$B$51,0)</f>
        <v>0</v>
      </c>
      <c r="H41" s="14" t="n">
        <f aca="false">IF(H40&gt;Допущения!$B$50,H17*Допущения!$B$51,0)</f>
        <v>0</v>
      </c>
      <c r="I41" s="14" t="n">
        <f aca="false">IF(I40&gt;Допущения!$B$50,I17*Допущения!$B$51,0)</f>
        <v>0</v>
      </c>
      <c r="J41" s="14" t="n">
        <f aca="false">IF(J40&gt;Допущения!$B$50,J17*Допущения!$B$51,0)</f>
        <v>0</v>
      </c>
      <c r="K41" s="14" t="n">
        <f aca="false">IF(K40&gt;Допущения!$B$50,K17*Допущения!$B$51,0)</f>
        <v>0</v>
      </c>
      <c r="L41" s="14" t="n">
        <f aca="false">IF(L40&gt;Допущения!$B$50,L17*Допущения!$B$51,0)</f>
        <v>0</v>
      </c>
      <c r="M41" s="14" t="n">
        <f aca="false">IF(M40&gt;Допущения!$B$50,M17*Допущения!$B$51,0)</f>
        <v>0</v>
      </c>
      <c r="N41" s="14" t="n">
        <f aca="false">IF(N40&gt;Допущения!$B$50,N17*Допущения!$B$51,0)</f>
        <v>0</v>
      </c>
      <c r="O41" s="14" t="n">
        <f aca="false">IF(O40&gt;Допущения!$B$50,O17*Допущения!$B$51,0)</f>
        <v>0</v>
      </c>
      <c r="P41" s="14" t="n">
        <f aca="false">IF(P40&gt;Допущения!$B$50,P17*Допущения!$B$51,0)</f>
        <v>0</v>
      </c>
      <c r="Q41" s="14" t="n">
        <f aca="false">IF(Q40&gt;Допущения!$B$50,Q17*Допущения!$B$51,0)</f>
        <v>0</v>
      </c>
      <c r="R41" s="14" t="n">
        <f aca="false">IF(R40&gt;Допущения!$B$50,R17*Допущения!$B$51,0)</f>
        <v>0</v>
      </c>
      <c r="S41" s="14" t="n">
        <f aca="false">IF(S40&gt;Допущения!$B$50,S17*Допущения!$B$51,0)</f>
        <v>0</v>
      </c>
      <c r="T41" s="14" t="n">
        <f aca="false">IF(T40&gt;Допущения!$B$50,T17*Допущения!$B$51,0)</f>
        <v>0</v>
      </c>
      <c r="U41" s="14" t="n">
        <f aca="false">IF(U40&gt;Допущения!$B$50,U17*Допущения!$B$51,0)</f>
        <v>0</v>
      </c>
      <c r="V41" s="14" t="n">
        <f aca="false">IF(V40&gt;Допущения!$B$50,V17*Допущения!$B$51,0)</f>
        <v>0</v>
      </c>
      <c r="W41" s="14" t="n">
        <f aca="false">IF(W40&gt;Допущения!$B$50,W17*Допущения!$B$51,0)</f>
        <v>0</v>
      </c>
      <c r="X41" s="14" t="n">
        <f aca="false">IF(X40&gt;Допущения!$B$50,X17*Допущения!$B$51,0)</f>
        <v>0</v>
      </c>
      <c r="Y41" s="14" t="n">
        <f aca="false">IF(Y40&gt;Допущения!$B$50,Y17*Допущения!$B$51,0)</f>
        <v>0</v>
      </c>
      <c r="Z41" s="7" t="s">
        <v>233</v>
      </c>
    </row>
    <row r="42" customFormat="false" ht="15" hidden="false" customHeight="false" outlineLevel="0" collapsed="false">
      <c r="A42" s="20" t="s">
        <v>234</v>
      </c>
      <c r="B42" s="14" t="n">
        <f aca="false">MAX((B17-B38-B41)*Допущения!$B$48,B17*Допущения!$B$49)</f>
        <v>0</v>
      </c>
      <c r="C42" s="14" t="n">
        <f aca="false">MAX((C17-C38-C41)*Допущения!$B$48,C17*Допущения!$B$49)</f>
        <v>0</v>
      </c>
      <c r="D42" s="14" t="n">
        <f aca="false">MAX((D17-D38-D41)*Допущения!$B$48,D17*Допущения!$B$49)</f>
        <v>118.437</v>
      </c>
      <c r="E42" s="14" t="n">
        <f aca="false">MAX((E17-E38-E41)*Допущения!$B$48,E17*Допущения!$B$49)</f>
        <v>504.074527625</v>
      </c>
      <c r="F42" s="14" t="n">
        <f aca="false">MAX((F17-F38-F41)*Допущения!$B$48,F17*Допущения!$B$49)</f>
        <v>872.131597096167</v>
      </c>
      <c r="G42" s="14" t="n">
        <f aca="false">MAX((G17-G38-G41)*Допущения!$B$48,G17*Допущения!$B$49)</f>
        <v>1224.22549187861</v>
      </c>
      <c r="H42" s="14" t="n">
        <f aca="false">MAX((H17-H38-H41)*Допущения!$B$48,H17*Допущения!$B$49)</f>
        <v>1561.78712619381</v>
      </c>
      <c r="I42" s="14" t="n">
        <f aca="false">MAX((I17-I38-I41)*Допущения!$B$48,I17*Допущения!$B$49)</f>
        <v>1886.08431079913</v>
      </c>
      <c r="J42" s="14" t="n">
        <f aca="false">MAX((J17-J38-J41)*Допущения!$B$48,J17*Допущения!$B$49)</f>
        <v>2227.57898594321</v>
      </c>
      <c r="K42" s="14" t="n">
        <f aca="false">MAX((K17-K38-K41)*Допущения!$B$48,K17*Допущения!$B$49)</f>
        <v>2555.15557478607</v>
      </c>
      <c r="L42" s="14" t="n">
        <f aca="false">MAX((L17-L38-L41)*Допущения!$B$48,L17*Допущения!$B$49)</f>
        <v>2870.01368096898</v>
      </c>
      <c r="M42" s="14" t="n">
        <f aca="false">MAX((M17-M38-M41)*Допущения!$B$48,M17*Допущения!$B$49)</f>
        <v>3202.42132680282</v>
      </c>
      <c r="N42" s="14" t="n">
        <f aca="false">MAX((N17-N38-N41)*Допущения!$B$48,N17*Допущения!$B$49)</f>
        <v>3521.44278568911</v>
      </c>
      <c r="O42" s="14" t="n">
        <f aca="false">MAX((O17-O38-O41)*Допущения!$B$48,O17*Допущения!$B$49)</f>
        <v>3828.220088214</v>
      </c>
      <c r="P42" s="14" t="n">
        <f aca="false">MAX((P17-P38-P41)*Допущения!$B$48,P17*Допущения!$B$49)</f>
        <v>4152.83648784306</v>
      </c>
      <c r="Q42" s="14" t="n">
        <f aca="false">MAX((Q17-Q38-Q41)*Допущения!$B$48,Q17*Допущения!$B$49)</f>
        <v>4464.54324868867</v>
      </c>
      <c r="R42" s="14" t="n">
        <f aca="false">MAX((R17-R38-R41)*Допущения!$B$48,R17*Допущения!$B$49)</f>
        <v>4793.40622055517</v>
      </c>
      <c r="S42" s="14" t="n">
        <f aca="false">MAX((S17-S38-S41)*Допущения!$B$48,S17*Допущения!$B$49)</f>
        <v>5108.89479855844</v>
      </c>
      <c r="T42" s="14" t="n">
        <f aca="false">MAX((T17-T38-T41)*Допущения!$B$48,T17*Допущения!$B$49)</f>
        <v>5441.03435995763</v>
      </c>
      <c r="U42" s="14" t="n">
        <f aca="false">MAX((U17-U38-U41)*Допущения!$B$48,U17*Допущения!$B$49)</f>
        <v>5788.32968260682</v>
      </c>
      <c r="V42" s="14" t="n">
        <f aca="false">MAX((V17-V38-V41)*Допущения!$B$48,V17*Допущения!$B$49)</f>
        <v>6120.67555606044</v>
      </c>
      <c r="W42" s="14" t="n">
        <f aca="false">MAX((W17-W38-W41)*Допущения!$B$48,W17*Допущения!$B$49)</f>
        <v>6468.1256382005</v>
      </c>
      <c r="X42" s="14" t="n">
        <f aca="false">MAX((X17-X38-X41)*Допущения!$B$48,X17*Допущения!$B$49)</f>
        <v>6829.42395480534</v>
      </c>
      <c r="Y42" s="14" t="n">
        <f aca="false">MAX((Y17-Y38-Y41)*Допущения!$B$48,Y17*Допущения!$B$49)</f>
        <v>7203.4687156433</v>
      </c>
      <c r="Z42" s="7" t="s">
        <v>235</v>
      </c>
    </row>
    <row r="43" customFormat="false" ht="15" hidden="false" customHeight="false" outlineLevel="0" collapsed="false">
      <c r="A43" s="28" t="s">
        <v>236</v>
      </c>
      <c r="B43" s="13" t="n">
        <f aca="false">B41+B42</f>
        <v>0</v>
      </c>
      <c r="C43" s="13" t="n">
        <f aca="false">C41+C42</f>
        <v>0</v>
      </c>
      <c r="D43" s="13" t="n">
        <f aca="false">D41+D42</f>
        <v>118.437</v>
      </c>
      <c r="E43" s="13" t="n">
        <f aca="false">E41+E42</f>
        <v>504.074527625</v>
      </c>
      <c r="F43" s="13" t="n">
        <f aca="false">F41+F42</f>
        <v>872.131597096167</v>
      </c>
      <c r="G43" s="13" t="n">
        <f aca="false">G41+G42</f>
        <v>1224.22549187861</v>
      </c>
      <c r="H43" s="13" t="n">
        <f aca="false">H41+H42</f>
        <v>1561.78712619381</v>
      </c>
      <c r="I43" s="13" t="n">
        <f aca="false">I41+I42</f>
        <v>1886.08431079913</v>
      </c>
      <c r="J43" s="13" t="n">
        <f aca="false">J41+J42</f>
        <v>2227.57898594321</v>
      </c>
      <c r="K43" s="13" t="n">
        <f aca="false">K41+K42</f>
        <v>2555.15557478607</v>
      </c>
      <c r="L43" s="13" t="n">
        <f aca="false">L41+L42</f>
        <v>2870.01368096898</v>
      </c>
      <c r="M43" s="13" t="n">
        <f aca="false">M41+M42</f>
        <v>3202.42132680282</v>
      </c>
      <c r="N43" s="13" t="n">
        <f aca="false">N41+N42</f>
        <v>3521.44278568911</v>
      </c>
      <c r="O43" s="13" t="n">
        <f aca="false">O41+O42</f>
        <v>3828.220088214</v>
      </c>
      <c r="P43" s="13" t="n">
        <f aca="false">P41+P42</f>
        <v>4152.83648784306</v>
      </c>
      <c r="Q43" s="13" t="n">
        <f aca="false">Q41+Q42</f>
        <v>4464.54324868867</v>
      </c>
      <c r="R43" s="13" t="n">
        <f aca="false">R41+R42</f>
        <v>4793.40622055517</v>
      </c>
      <c r="S43" s="13" t="n">
        <f aca="false">S41+S42</f>
        <v>5108.89479855844</v>
      </c>
      <c r="T43" s="13" t="n">
        <f aca="false">T41+T42</f>
        <v>5441.03435995763</v>
      </c>
      <c r="U43" s="13" t="n">
        <f aca="false">U41+U42</f>
        <v>5788.32968260682</v>
      </c>
      <c r="V43" s="13" t="n">
        <f aca="false">V41+V42</f>
        <v>6120.67555606044</v>
      </c>
      <c r="W43" s="13" t="n">
        <f aca="false">W41+W42</f>
        <v>6468.1256382005</v>
      </c>
      <c r="X43" s="13" t="n">
        <f aca="false">X41+X42</f>
        <v>6829.42395480534</v>
      </c>
      <c r="Y43" s="13" t="n">
        <f aca="false">Y41+Y42</f>
        <v>7203.4687156433</v>
      </c>
    </row>
    <row r="44" customFormat="false" ht="15" hidden="false" customHeight="false" outlineLevel="0" collapsed="false">
      <c r="A44" s="3" t="s">
        <v>237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Format="false" ht="15" hidden="false" customHeight="false" outlineLevel="0" collapsed="false">
      <c r="A45" s="28" t="s">
        <v>238</v>
      </c>
      <c r="B45" s="13" t="n">
        <f aca="false">B17-B38-B43</f>
        <v>-99954.5833333333</v>
      </c>
      <c r="C45" s="13" t="n">
        <f aca="false">C17-C38-C43</f>
        <v>-99954.5833333333</v>
      </c>
      <c r="D45" s="13" t="n">
        <f aca="false">D17-D38-D43</f>
        <v>-96329.6723333333</v>
      </c>
      <c r="E45" s="13" t="n">
        <f aca="false">E17-E38-E43</f>
        <v>-87879.5457594167</v>
      </c>
      <c r="F45" s="13" t="n">
        <f aca="false">F17-F38-F43</f>
        <v>-76962.2834749868</v>
      </c>
      <c r="G45" s="13" t="n">
        <f aca="false">G17-G38-G43</f>
        <v>-66531.4981094552</v>
      </c>
      <c r="H45" s="13" t="n">
        <f aca="false">H17-H38-H43</f>
        <v>-106543.038773568</v>
      </c>
      <c r="I45" s="13" t="n">
        <f aca="false">I17-I38-I43</f>
        <v>-96957.7997972045</v>
      </c>
      <c r="J45" s="13" t="n">
        <f aca="false">J17-J38-J43</f>
        <v>-86871.9835875104</v>
      </c>
      <c r="K45" s="13" t="n">
        <f aca="false">K17-K38-K43</f>
        <v>-77176.4890846779</v>
      </c>
      <c r="L45" s="13" t="n">
        <f aca="false">L17-L38-L43</f>
        <v>-67867.6674062604</v>
      </c>
      <c r="M45" s="13" t="n">
        <f aca="false">M17-M38-M43</f>
        <v>-58062.0631602715</v>
      </c>
      <c r="N45" s="13" t="n">
        <f aca="false">N17-N38-N43</f>
        <v>-98616.3631005892</v>
      </c>
      <c r="O45" s="13" t="n">
        <f aca="false">O17-O38-O43</f>
        <v>-89542.9887572041</v>
      </c>
      <c r="P45" s="13" t="n">
        <f aca="false">P17-P38-P43</f>
        <v>-79978.5440357025</v>
      </c>
      <c r="Q45" s="13" t="n">
        <f aca="false">Q17-Q38-Q43</f>
        <v>-70745.2830635049</v>
      </c>
      <c r="R45" s="13" t="n">
        <f aca="false">R17-R38-R43</f>
        <v>-61051.8472313796</v>
      </c>
      <c r="S45" s="13" t="n">
        <f aca="false">S17-S38-S43</f>
        <v>-51694.6442284706</v>
      </c>
      <c r="T45" s="13" t="n">
        <f aca="false">T17-T38-T43</f>
        <v>-41902.6587388596</v>
      </c>
      <c r="U45" s="13" t="n">
        <f aca="false">U17-U38-U43</f>
        <v>-31646.0267719586</v>
      </c>
      <c r="V45" s="13" t="n">
        <f aca="false">V17-V38-V43</f>
        <v>-21760.3437551764</v>
      </c>
      <c r="W45" s="13" t="n">
        <f aca="false">W17-W38-W43</f>
        <v>-11502.3569342731</v>
      </c>
      <c r="X45" s="13" t="n">
        <f aca="false">X17-X38-X43</f>
        <v>-820.502080749958</v>
      </c>
      <c r="Y45" s="13" t="n">
        <f aca="false">Y17-Y38-Y43</f>
        <v>10251.0332230322</v>
      </c>
    </row>
    <row r="46" customFormat="false" ht="15" hidden="false" customHeight="false" outlineLevel="0" collapsed="false">
      <c r="A46" s="28" t="s">
        <v>239</v>
      </c>
      <c r="B46" s="13" t="n">
        <f aca="false">B19-B38-B43</f>
        <v>-99954.5833333333</v>
      </c>
      <c r="C46" s="13" t="n">
        <f aca="false">C19-C38-C43</f>
        <v>-99954.5833333333</v>
      </c>
      <c r="D46" s="13" t="n">
        <f aca="false">D19-D38-D43</f>
        <v>-95664.1723333333</v>
      </c>
      <c r="E46" s="13" t="n">
        <f aca="false">E19-E38-E43</f>
        <v>4851.60007391667</v>
      </c>
      <c r="F46" s="13" t="n">
        <f aca="false">F19-F38-F43</f>
        <v>8006.74430279101</v>
      </c>
      <c r="G46" s="13" t="n">
        <f aca="false">G19-G38-G43</f>
        <v>10811.7125386929</v>
      </c>
      <c r="H46" s="13" t="n">
        <f aca="false">H19-H38-H43</f>
        <v>-36691.6160112219</v>
      </c>
      <c r="I46" s="13" t="n">
        <f aca="false">I19-I38-I43</f>
        <v>-34466.3694975646</v>
      </c>
      <c r="J46" s="13" t="n">
        <f aca="false">J19-J38-J43</f>
        <v>-30945.4469178644</v>
      </c>
      <c r="K46" s="13" t="n">
        <f aca="false">K19-K38-K43</f>
        <v>-28269.7196928594</v>
      </c>
      <c r="L46" s="13" t="n">
        <f aca="false">L19-L38-L43</f>
        <v>-25855.3504209722</v>
      </c>
      <c r="M46" s="13" t="n">
        <f aca="false">M19-M38-M43</f>
        <v>-21905.9097914047</v>
      </c>
      <c r="N46" s="13" t="n">
        <f aca="false">N19-N38-N43</f>
        <v>-69027.0758295369</v>
      </c>
      <c r="O46" s="13" t="n">
        <f aca="false">O19-O38-O43</f>
        <v>-66401.414607336</v>
      </c>
      <c r="P46" s="13" t="n">
        <f aca="false">P19-P38-P43</f>
        <v>-62002.8909133322</v>
      </c>
      <c r="Q46" s="13" t="n">
        <f aca="false">Q19-Q38-Q43</f>
        <v>-58901.7741598408</v>
      </c>
      <c r="R46" s="13" t="n">
        <f aca="false">R19-R38-R43</f>
        <v>-53896.1884761099</v>
      </c>
      <c r="S46" s="13" t="n">
        <f aca="false">S19-S38-S43</f>
        <v>-50363.2422857887</v>
      </c>
      <c r="T46" s="13" t="n">
        <f aca="false">T19-T38-T43</f>
        <v>-44788.589536889</v>
      </c>
      <c r="U46" s="13" t="n">
        <f aca="false">U19-U38-U43</f>
        <v>-38475.1920566875</v>
      </c>
      <c r="V46" s="13" t="n">
        <f aca="false">V19-V38-V43</f>
        <v>-33924.1906601598</v>
      </c>
      <c r="W46" s="13" t="n">
        <f aca="false">W19-W38-W43</f>
        <v>-27149.7855575068</v>
      </c>
      <c r="X46" s="13" t="n">
        <f aca="false">X19-X38-X43</f>
        <v>-19682.7110602632</v>
      </c>
      <c r="Y46" s="13" t="n">
        <f aca="false">Y19-Y38-Y43</f>
        <v>-11558.8618568224</v>
      </c>
    </row>
    <row r="47" customFormat="false" ht="15" hidden="false" customHeight="false" outlineLevel="0" collapsed="false">
      <c r="A47" s="28" t="s">
        <v>240</v>
      </c>
      <c r="B47" s="13" t="n">
        <f aca="false">Допущения!$B$56+B46</f>
        <v>400045.416666667</v>
      </c>
      <c r="C47" s="13" t="n">
        <f aca="false">B47+C46</f>
        <v>300090.833333333</v>
      </c>
      <c r="D47" s="13" t="n">
        <f aca="false">C47+D46</f>
        <v>204426.661</v>
      </c>
      <c r="E47" s="13" t="n">
        <f aca="false">D47+E46</f>
        <v>209278.261073917</v>
      </c>
      <c r="F47" s="13" t="n">
        <f aca="false">E47+F46</f>
        <v>217285.005376708</v>
      </c>
      <c r="G47" s="13" t="n">
        <f aca="false">F47+G46</f>
        <v>228096.717915401</v>
      </c>
      <c r="H47" s="13" t="n">
        <f aca="false">G47+H46</f>
        <v>191405.101904179</v>
      </c>
      <c r="I47" s="13" t="n">
        <f aca="false">H47+I46</f>
        <v>156938.732406614</v>
      </c>
      <c r="J47" s="13" t="n">
        <f aca="false">I47+J46</f>
        <v>125993.28548875</v>
      </c>
      <c r="K47" s="13" t="n">
        <f aca="false">J47+K46</f>
        <v>97723.5657958903</v>
      </c>
      <c r="L47" s="13" t="n">
        <f aca="false">K47+L46</f>
        <v>71868.215374918</v>
      </c>
      <c r="M47" s="13" t="n">
        <f aca="false">L47+M46</f>
        <v>49962.3055835133</v>
      </c>
      <c r="N47" s="13" t="n">
        <f aca="false">M47+N46</f>
        <v>-19064.7702460236</v>
      </c>
      <c r="O47" s="13" t="n">
        <f aca="false">N47+O46</f>
        <v>-85466.1848533596</v>
      </c>
      <c r="P47" s="13" t="n">
        <f aca="false">O47+P46</f>
        <v>-147469.075766692</v>
      </c>
      <c r="Q47" s="13" t="n">
        <f aca="false">P47+Q46</f>
        <v>-206370.849926533</v>
      </c>
      <c r="R47" s="13" t="n">
        <f aca="false">Q47+R46</f>
        <v>-260267.038402642</v>
      </c>
      <c r="S47" s="13" t="n">
        <f aca="false">R47+S46</f>
        <v>-310630.280688431</v>
      </c>
      <c r="T47" s="13" t="n">
        <f aca="false">S47+T46</f>
        <v>-355418.87022532</v>
      </c>
      <c r="U47" s="13" t="n">
        <f aca="false">T47+U46</f>
        <v>-393894.062282008</v>
      </c>
      <c r="V47" s="13" t="n">
        <f aca="false">U47+V46</f>
        <v>-427818.252942167</v>
      </c>
      <c r="W47" s="13" t="n">
        <f aca="false">V47+W46</f>
        <v>-454968.038499674</v>
      </c>
      <c r="X47" s="13" t="n">
        <f aca="false">W47+X46</f>
        <v>-474650.749559937</v>
      </c>
      <c r="Y47" s="13" t="n">
        <f aca="false">X47+Y46</f>
        <v>-486209.61141676</v>
      </c>
      <c r="Z47" s="7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242</v>
      </c>
    </row>
    <row r="3" customFormat="false" ht="15" hidden="false" customHeight="false" outlineLevel="0" collapsed="false">
      <c r="A3" s="19" t="s">
        <v>243</v>
      </c>
    </row>
    <row r="4" customFormat="false" ht="45.75" hidden="false" customHeight="true" outlineLevel="0" collapsed="false">
      <c r="A4" s="20" t="s">
        <v>27</v>
      </c>
      <c r="B4" s="21" t="s">
        <v>244</v>
      </c>
      <c r="C4" s="21"/>
    </row>
    <row r="5" customFormat="false" ht="45.75" hidden="false" customHeight="true" outlineLevel="0" collapsed="false">
      <c r="A5" s="20" t="s">
        <v>27</v>
      </c>
      <c r="B5" s="21" t="s">
        <v>245</v>
      </c>
      <c r="C5" s="21"/>
    </row>
    <row r="6" customFormat="false" ht="45.75" hidden="false" customHeight="true" outlineLevel="0" collapsed="false">
      <c r="A6" s="20" t="s">
        <v>27</v>
      </c>
      <c r="B6" s="21" t="s">
        <v>246</v>
      </c>
      <c r="C6" s="21"/>
    </row>
    <row r="7" customFormat="false" ht="45.75" hidden="false" customHeight="true" outlineLevel="0" collapsed="false">
      <c r="A7" s="20" t="s">
        <v>27</v>
      </c>
      <c r="B7" s="21" t="s">
        <v>247</v>
      </c>
      <c r="C7" s="21"/>
    </row>
    <row r="9" customFormat="false" ht="15" hidden="false" customHeight="false" outlineLevel="0" collapsed="false">
      <c r="A9" s="19" t="s">
        <v>248</v>
      </c>
    </row>
    <row r="10" customFormat="false" ht="36" hidden="false" customHeight="true" outlineLevel="0" collapsed="false">
      <c r="A10" s="20" t="s">
        <v>27</v>
      </c>
      <c r="B10" s="21" t="s">
        <v>249</v>
      </c>
      <c r="C10" s="21"/>
    </row>
    <row r="11" customFormat="false" ht="36" hidden="false" customHeight="true" outlineLevel="0" collapsed="false">
      <c r="A11" s="20" t="s">
        <v>27</v>
      </c>
      <c r="B11" s="21" t="s">
        <v>250</v>
      </c>
      <c r="C11" s="21"/>
    </row>
    <row r="12" customFormat="false" ht="36" hidden="false" customHeight="true" outlineLevel="0" collapsed="false">
      <c r="A12" s="20" t="s">
        <v>27</v>
      </c>
      <c r="B12" s="21" t="s">
        <v>251</v>
      </c>
      <c r="C12" s="21"/>
    </row>
    <row r="13" customFormat="false" ht="36" hidden="false" customHeight="true" outlineLevel="0" collapsed="false">
      <c r="A13" s="20" t="s">
        <v>27</v>
      </c>
      <c r="B13" s="21" t="s">
        <v>252</v>
      </c>
      <c r="C13" s="21"/>
    </row>
    <row r="15" customFormat="false" ht="15" hidden="false" customHeight="false" outlineLevel="0" collapsed="false">
      <c r="A15" s="19" t="s">
        <v>253</v>
      </c>
    </row>
    <row r="16" customFormat="false" ht="75.75" hidden="false" customHeight="true" outlineLevel="0" collapsed="false">
      <c r="A16" s="21" t="s">
        <v>254</v>
      </c>
      <c r="B16" s="21"/>
      <c r="C16" s="21"/>
    </row>
    <row r="17" customFormat="false" ht="15" hidden="false" customHeight="false" outlineLevel="0" collapsed="false">
      <c r="A17" s="20" t="s">
        <v>255</v>
      </c>
      <c r="B17" s="9" t="n">
        <f aca="false">(Допущения!$B$44*6+Допущения!$B$46*12)</f>
        <v>1500000</v>
      </c>
      <c r="C17" s="7" t="s">
        <v>256</v>
      </c>
    </row>
    <row r="18" customFormat="false" ht="15" hidden="false" customHeight="false" outlineLevel="0" collapsed="false">
      <c r="A18" s="20" t="s">
        <v>257</v>
      </c>
      <c r="B18" s="9" t="n">
        <f aca="false">(Допущения!$B$44*6+Допущения!$B$46*12)*Допущения!$B$53</f>
        <v>450000</v>
      </c>
      <c r="C18" s="7" t="s">
        <v>258</v>
      </c>
    </row>
    <row r="19" customFormat="false" ht="15" hidden="false" customHeight="false" outlineLevel="0" collapsed="false">
      <c r="A19" s="20" t="s">
        <v>259</v>
      </c>
      <c r="B19" s="9" t="n">
        <f aca="false">(Допущения!$B$44*6+Допущения!$B$46*12)*Допущения!$B$53*0.2</f>
        <v>90000</v>
      </c>
      <c r="C19" s="7" t="s">
        <v>260</v>
      </c>
    </row>
    <row r="20" customFormat="false" ht="15" hidden="false" customHeight="false" outlineLevel="0" collapsed="false">
      <c r="A20" s="20" t="s">
        <v>261</v>
      </c>
      <c r="B20" s="9" t="n">
        <f aca="false">(Допущения!$B$44*6+Допущения!$B$46*12)*Допущения!$B$53*1.2</f>
        <v>540000</v>
      </c>
      <c r="C20" s="7" t="s">
        <v>262</v>
      </c>
    </row>
    <row r="22" customFormat="false" ht="15" hidden="false" customHeight="false" outlineLevel="0" collapsed="false">
      <c r="A22" s="19" t="s">
        <v>263</v>
      </c>
    </row>
    <row r="23" customFormat="false" ht="36" hidden="false" customHeight="true" outlineLevel="0" collapsed="false">
      <c r="A23" s="20" t="s">
        <v>27</v>
      </c>
      <c r="B23" s="21" t="s">
        <v>264</v>
      </c>
      <c r="C23" s="21"/>
    </row>
    <row r="24" customFormat="false" ht="36" hidden="false" customHeight="true" outlineLevel="0" collapsed="false">
      <c r="A24" s="20" t="s">
        <v>27</v>
      </c>
      <c r="B24" s="21" t="s">
        <v>265</v>
      </c>
      <c r="C24" s="21"/>
    </row>
    <row r="25" customFormat="false" ht="36" hidden="false" customHeight="true" outlineLevel="0" collapsed="false">
      <c r="A25" s="20" t="s">
        <v>27</v>
      </c>
      <c r="B25" s="21" t="s">
        <v>266</v>
      </c>
      <c r="C25" s="21"/>
    </row>
    <row r="26" customFormat="false" ht="36" hidden="false" customHeight="true" outlineLevel="0" collapsed="false">
      <c r="A26" s="20" t="s">
        <v>27</v>
      </c>
      <c r="B26" s="21" t="s">
        <v>267</v>
      </c>
      <c r="C26" s="21"/>
    </row>
    <row r="27" customFormat="false" ht="36" hidden="false" customHeight="true" outlineLevel="0" collapsed="false">
      <c r="A27" s="20" t="s">
        <v>27</v>
      </c>
      <c r="B27" s="21" t="s">
        <v>268</v>
      </c>
      <c r="C27" s="21"/>
    </row>
    <row r="29" customFormat="false" ht="15" hidden="false" customHeight="false" outlineLevel="0" collapsed="false">
      <c r="A29" s="19" t="s">
        <v>269</v>
      </c>
    </row>
    <row r="30" customFormat="false" ht="15" hidden="false" customHeight="false" outlineLevel="0" collapsed="false">
      <c r="A30" s="2" t="s">
        <v>270</v>
      </c>
    </row>
    <row r="31" customFormat="false" ht="15" hidden="false" customHeight="false" outlineLevel="0" collapsed="false">
      <c r="A31" s="2" t="s">
        <v>271</v>
      </c>
    </row>
    <row r="32" customFormat="false" ht="15" hidden="false" customHeight="false" outlineLevel="0" collapsed="false">
      <c r="A32" s="2" t="s">
        <v>272</v>
      </c>
    </row>
    <row r="33" customFormat="false" ht="15" hidden="false" customHeight="false" outlineLevel="0" collapsed="false">
      <c r="A33" s="2" t="s">
        <v>273</v>
      </c>
    </row>
    <row r="34" customFormat="false" ht="15" hidden="false" customHeight="false" outlineLevel="0" collapsed="false">
      <c r="A34" s="2" t="s">
        <v>274</v>
      </c>
    </row>
    <row r="35" customFormat="false" ht="15" hidden="false" customHeight="false" outlineLevel="0" collapsed="false">
      <c r="A35" s="2" t="s">
        <v>275</v>
      </c>
    </row>
  </sheetData>
  <mergeCells count="14">
    <mergeCell ref="B4:C4"/>
    <mergeCell ref="B5:C5"/>
    <mergeCell ref="B6:C6"/>
    <mergeCell ref="B7:C7"/>
    <mergeCell ref="B10:C10"/>
    <mergeCell ref="B11:C11"/>
    <mergeCell ref="B12:C12"/>
    <mergeCell ref="B13:C13"/>
    <mergeCell ref="A16:C16"/>
    <mergeCell ref="B23:C23"/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2026-09-25T11:56:32Z</dcterms:created>
  <dc:creator>openpyxl</dc:creator>
  <dc:description/>
  <dc:language>en-US</dc:language>
  <cp:lastModifiedBy/>
  <dcterms:modified xsi:type="dcterms:W3CDTF">2026-09-25T11:56:32Z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