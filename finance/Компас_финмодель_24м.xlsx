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и" sheetId="1" state="visible" r:id="rId1"/>
    <sheet name="Допущения" sheetId="2" state="visible" r:id="rId2"/>
    <sheet name="Расчёт по месяцам" sheetId="3" state="visible" r:id="rId3"/>
    <sheet name="Налоги и риск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 ##0 ₽;[Red]-# ##0 ₽"/>
    <numFmt numFmtId="165" formatCode="0.0%"/>
    <numFmt numFmtId="166" formatCode="# ##0;[Red]-# ##0"/>
  </numFmts>
  <fonts count="7">
    <font>
      <name val="Calibri"/>
      <family val="2"/>
      <color theme="1"/>
      <sz val="11"/>
      <scheme val="minor"/>
    </font>
    <font>
      <name val="Calibri"/>
      <b val="1"/>
      <color rgb="000F5132"/>
      <sz val="14"/>
    </font>
    <font>
      <name val="Calibri"/>
      <color rgb="006B6B6B"/>
      <sz val="9"/>
    </font>
    <font>
      <name val="Calibri"/>
      <b val="1"/>
      <sz val="11"/>
    </font>
    <font>
      <name val="Calibri"/>
      <b val="1"/>
      <color rgb="001C2B25"/>
      <sz val="11"/>
    </font>
    <font>
      <name val="Calibri"/>
      <sz val="11"/>
    </font>
    <font>
      <name val="Calibri"/>
      <b val="1"/>
      <color rgb="009C3B1B"/>
      <sz val="11"/>
    </font>
  </fonts>
  <fills count="4">
    <fill>
      <patternFill/>
    </fill>
    <fill>
      <patternFill patternType="gray125"/>
    </fill>
    <fill>
      <patternFill patternType="solid">
        <fgColor rgb="00E7EFE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166" fontId="3" fillId="0" borderId="0" pivotButton="0" quotePrefix="0" xfId="0"/>
    <xf numFmtId="0" fontId="2" fillId="0" borderId="0" applyAlignment="1" pivotButton="0" quotePrefix="0" xfId="0">
      <alignment vertical="top" wrapText="1"/>
    </xf>
    <xf numFmtId="164" fontId="3" fillId="0" borderId="0" pivotButton="0" quotePrefix="0" xfId="0"/>
    <xf numFmtId="0" fontId="4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164" fontId="3" fillId="3" borderId="0" pivotButton="0" quotePrefix="0" xfId="0"/>
    <xf numFmtId="164" fontId="5" fillId="3" borderId="0" pivotButton="0" quotePrefix="0" xfId="0"/>
    <xf numFmtId="165" fontId="3" fillId="3" borderId="0" pivotButton="0" quotePrefix="0" xfId="0"/>
    <xf numFmtId="165" fontId="5" fillId="3" borderId="0" pivotButton="0" quotePrefix="0" xfId="0"/>
    <xf numFmtId="166" fontId="3" fillId="3" borderId="0" pivotButton="0" quotePrefix="0" xfId="0"/>
    <xf numFmtId="166" fontId="5" fillId="3" borderId="0" pivotButton="0" quotePrefix="0" xfId="0"/>
    <xf numFmtId="166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70" customWidth="1" min="4" max="4"/>
  </cols>
  <sheetData>
    <row r="1">
      <c r="A1" s="1" t="inlineStr">
        <is>
          <t>«Компас» — финансовая модель на 24 месяца</t>
        </is>
      </c>
    </row>
    <row r="2">
      <c r="A2" s="2" t="inlineStr">
        <is>
          <t>Октябрь 2026 — сентябрь 2028. Составлено 22 сентября 2026.</t>
        </is>
      </c>
    </row>
    <row r="4">
      <c r="A4" s="3" t="inlineStr">
        <is>
          <t>Показатель</t>
        </is>
      </c>
      <c r="B4" s="3" t="inlineStr">
        <is>
          <t>12 месяцев</t>
        </is>
      </c>
      <c r="C4" s="3" t="inlineStr">
        <is>
          <t>24 месяца</t>
        </is>
      </c>
      <c r="D4" s="3" t="inlineStr">
        <is>
          <t>Что это значит</t>
        </is>
      </c>
    </row>
    <row r="5" ht="28" customHeight="1">
      <c r="A5" s="4" t="inlineStr">
        <is>
          <t>Платящих подписчиков на конец периода</t>
        </is>
      </c>
      <c r="B5" s="5">
        <f>'Расчёт по месяцам'!M8</f>
        <v/>
      </c>
      <c r="C5" s="5">
        <f>'Расчёт по месяцам'!Y8</f>
        <v/>
      </c>
      <c r="D5" s="6" t="inlineStr">
        <is>
          <t>Главное число модели: всё остальное считается от него.</t>
        </is>
      </c>
    </row>
    <row r="6" ht="28" customHeight="1">
      <c r="A6" s="4" t="inlineStr">
        <is>
          <t>Выручка за период</t>
        </is>
      </c>
      <c r="B6" s="7">
        <f>SUM('Расчёт по месяцам'!B10:M10)</f>
        <v/>
      </c>
      <c r="C6" s="7">
        <f>SUM('Расчёт по месяцам'!B10:Y10)</f>
        <v/>
      </c>
      <c r="D6" s="6" t="inlineStr">
        <is>
          <t>Признанная выручка. Деньгами годовые подписки приходят раньше.</t>
        </is>
      </c>
    </row>
    <row r="7" ht="28" customHeight="1">
      <c r="A7" s="4" t="inlineStr">
        <is>
          <t>Расходы за период</t>
        </is>
      </c>
      <c r="B7" s="7">
        <f>SUM('Расчёт по месяцам'!B26:M26)</f>
        <v/>
      </c>
      <c r="C7" s="7">
        <f>SUM('Расчёт по месяцам'!B26:Y26)</f>
        <v/>
      </c>
      <c r="D7" s="6" t="inlineStr"/>
    </row>
    <row r="8" ht="28" customHeight="1">
      <c r="A8" s="4" t="inlineStr">
        <is>
          <t>Налоги за период</t>
        </is>
      </c>
      <c r="B8" s="7">
        <f>SUM('Расчёт по месяцам'!B32:M32)</f>
        <v/>
      </c>
      <c r="C8" s="7">
        <f>SUM('Расчёт по месяцам'!B32:Y32)</f>
        <v/>
      </c>
      <c r="D8" s="6" t="inlineStr">
        <is>
          <t>УСН плюс НДС после порога. Первый год — минимальный налог 1% с дохода.</t>
        </is>
      </c>
    </row>
    <row r="9" ht="28" customHeight="1">
      <c r="A9" s="4" t="inlineStr">
        <is>
          <t>Взносы за гендиректора</t>
        </is>
      </c>
      <c r="B9" s="7">
        <f>SUM('Расчёт по месяцам'!B25:M25)</f>
        <v/>
      </c>
      <c r="C9" s="7">
        <f>SUM('Расчёт по месяцам'!B25:Y25)</f>
        <v/>
      </c>
      <c r="D9" s="6" t="inlineStr">
        <is>
          <t>Цена решения «не заключать трудовой договор». С 2026 года она больше не ноль.</t>
        </is>
      </c>
    </row>
    <row r="10" ht="28" customHeight="1">
      <c r="A10" s="4" t="inlineStr">
        <is>
          <t>Чистая прибыль за период</t>
        </is>
      </c>
      <c r="B10" s="7">
        <f>SUM('Расчёт по месяцам'!B35:M35)</f>
        <v/>
      </c>
      <c r="C10" s="7">
        <f>SUM('Расчёт по месяцам'!B35:Y35)</f>
        <v/>
      </c>
      <c r="D10" s="6" t="inlineStr"/>
    </row>
    <row r="11" ht="28" customHeight="1">
      <c r="A11" s="4" t="inlineStr">
        <is>
          <t>Деньги на конец периода</t>
        </is>
      </c>
      <c r="B11" s="7">
        <f>'Расчёт по месяцам'!M37</f>
        <v/>
      </c>
      <c r="C11" s="7">
        <f>'Расчёт по месяцам'!Y37</f>
        <v/>
      </c>
      <c r="D11" s="6" t="inlineStr">
        <is>
          <t>Если число отрицательное — столько денег не хватило.</t>
        </is>
      </c>
    </row>
    <row r="13">
      <c r="A13" s="8" t="inlineStr">
        <is>
          <t>Два числа, которые решают всё</t>
        </is>
      </c>
    </row>
    <row r="14">
      <c r="A14" s="4" t="inlineStr">
        <is>
          <t>Месяц, когда деньги уходят в минус</t>
        </is>
      </c>
      <c r="B14" s="9">
        <f>IFERROR(MATCH(TRUE,INDEX('Расчёт по месяцам'!B37:Y37&lt;0,0),0),"не уходят")</f>
        <v/>
      </c>
      <c r="D14" s="6" t="inlineStr">
        <is>
          <t>Номер месяца от старта. До него нужно либо выйти в плюс, либо найти деньги.</t>
        </is>
      </c>
    </row>
    <row r="15">
      <c r="A15" s="4" t="inlineStr">
        <is>
          <t>Месяц выхода в прибыль</t>
        </is>
      </c>
      <c r="B15" s="5">
        <f>IFERROR(MATCH(TRUE,INDEX('Расчёт по месяцам'!B35:Y35&gt;0,0),0),"не выходим")</f>
        <v/>
      </c>
      <c r="D15" s="6" t="inlineStr">
        <is>
          <t>Первый месяц, в котором чистая прибыль положительна.</t>
        </is>
      </c>
    </row>
    <row r="16">
      <c r="A16" s="4" t="inlineStr">
        <is>
          <t>Сколько денег нужно до выхода в плюс</t>
        </is>
      </c>
      <c r="B16" s="10">
        <f>MAX(0,-MIN('Расчёт по месяцам'!B37:Y37))</f>
        <v/>
      </c>
      <c r="D16" s="6" t="inlineStr">
        <is>
          <t>Самая глубокая точка минуса. Столько нужно добавить сверх стартовых денег. Ноль означает, что стартовых хватило.</t>
        </is>
      </c>
    </row>
    <row r="18">
      <c r="A18" s="8" t="inlineStr">
        <is>
          <t>Как пользоваться</t>
        </is>
      </c>
    </row>
    <row r="19" ht="30" customHeight="1">
      <c r="A19" s="4" t="inlineStr">
        <is>
          <t>•</t>
        </is>
      </c>
      <c r="B19" s="11" t="inlineStr">
        <is>
          <t>Меняйте только жёлтые клетки на листе «Допущения» — всё остальное пересчитается само.</t>
        </is>
      </c>
    </row>
    <row r="20" ht="30" customHeight="1">
      <c r="A20" s="4" t="inlineStr">
        <is>
          <t>•</t>
        </is>
      </c>
      <c r="B20" s="11" t="inlineStr">
        <is>
          <t>Три колонки допущений — три сценария. Расчёт идёт по колонке «Базовый»; чтобы посмотреть осторожный, скопируйте колонку C в колонку B.</t>
        </is>
      </c>
    </row>
    <row r="21" ht="30" customHeight="1">
      <c r="A21" s="4" t="inlineStr">
        <is>
          <t>•</t>
        </is>
      </c>
      <c r="B21" s="11" t="inlineStr">
        <is>
          <t>Лист «Налоги и риски» читать обязательно: там про взносы за гендиректора, порог НДС и то, чем отличается АО от ООО по расходам.</t>
        </is>
      </c>
    </row>
    <row r="22" ht="30" customHeight="1">
      <c r="A22" s="4" t="inlineStr">
        <is>
          <t>•</t>
        </is>
      </c>
      <c r="B22" s="11" t="inlineStr">
        <is>
          <t>Числа, помеченные «УТОЧНИТЬ», — мои оценки. Их надо заменить вашими счетами: хостинг, Яндекс AI, API-ФНС и деньги на старте.</t>
        </is>
      </c>
    </row>
  </sheetData>
  <mergeCells count="4">
    <mergeCell ref="B22:D22"/>
    <mergeCell ref="B19:D19"/>
    <mergeCell ref="B21:D21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72" customWidth="1" min="5" max="5"/>
  </cols>
  <sheetData>
    <row r="1">
      <c r="A1" s="1" t="inlineStr">
        <is>
          <t>Допущения модели</t>
        </is>
      </c>
    </row>
    <row r="2">
      <c r="A2" s="2" t="inlineStr">
        <is>
          <t>Жёлтые клетки — то, что можно менять. Всё остальное считается формулами.</t>
        </is>
      </c>
    </row>
    <row r="3">
      <c r="A3" s="2" t="inlineStr">
        <is>
          <t>Составлено 22 сентября 2026. Ставки налогов проверены по источникам в этот день.</t>
        </is>
      </c>
    </row>
    <row r="5">
      <c r="B5" s="12" t="inlineStr">
        <is>
          <t>Базовый</t>
        </is>
      </c>
      <c r="C5" s="12" t="inlineStr">
        <is>
          <t>Осторожный</t>
        </is>
      </c>
      <c r="D5" s="12" t="inlineStr">
        <is>
          <t>Смелый</t>
        </is>
      </c>
      <c r="E5" s="12" t="inlineStr">
        <is>
          <t>Откуда число</t>
        </is>
      </c>
    </row>
    <row r="6">
      <c r="A6" s="13" t="inlineStr">
        <is>
          <t>Цена и продукт</t>
        </is>
      </c>
      <c r="B6" s="14" t="n"/>
      <c r="C6" s="14" t="n"/>
      <c r="D6" s="14" t="n"/>
      <c r="E6" s="14" t="n"/>
    </row>
    <row r="7">
      <c r="A7" s="11" t="inlineStr">
        <is>
          <t>Подписка, ₽ в месяц</t>
        </is>
      </c>
      <c r="B7" s="15" t="n">
        <v>9900</v>
      </c>
      <c r="C7" s="16" t="n">
        <v>6900</v>
      </c>
      <c r="D7" s="16" t="n">
        <v>14900</v>
      </c>
      <c r="E7" s="6" t="inlineStr">
        <is>
          <t>Ориентир рынка: СПАРК — от 100 тыс ₽/год за рабочее место. Мы дешевле: база уже; конкуренты (Буракова, Aspring) бесплатны, но это приложение к каналу и к инвестбанку, а не продукт.</t>
        </is>
      </c>
    </row>
    <row r="8">
      <c r="A8" s="11" t="inlineStr">
        <is>
          <t>Подписка, ₽ в год</t>
        </is>
      </c>
      <c r="B8" s="15" t="n">
        <v>99000</v>
      </c>
      <c r="C8" s="16" t="n">
        <v>69000</v>
      </c>
      <c r="D8" s="16" t="n">
        <v>149000</v>
      </c>
      <c r="E8" s="6" t="inlineStr">
        <is>
          <t>Десять месяцев по цене двенадцати — обычная скидка за год вперёд. Годовая оплата важнее скидки: она даёт деньги вперёд, а у нас это единственный источник оборотных средств.</t>
        </is>
      </c>
    </row>
    <row r="9">
      <c r="A9" s="11" t="inlineStr">
        <is>
          <t>Доля годовых подписок к 24-му месяцу</t>
        </is>
      </c>
      <c r="B9" s="17" t="n">
        <v>0.3</v>
      </c>
      <c r="C9" s="18" t="n">
        <v>0.15</v>
      </c>
      <c r="D9" s="18" t="n">
        <v>0.45</v>
      </c>
      <c r="E9" s="6" t="inlineStr">
        <is>
          <t>В первый год платят помесячно, пока не убедятся. Доля растёт линейно от нуля.</t>
        </is>
      </c>
    </row>
    <row r="10">
      <c r="A10" s="11" t="inlineStr">
        <is>
          <t>Отток в месяц (помесячные подписки)</t>
        </is>
      </c>
      <c r="B10" s="17" t="n">
        <v>0.06</v>
      </c>
      <c r="C10" s="18" t="n">
        <v>0.09</v>
      </c>
      <c r="D10" s="18" t="n">
        <v>0.04</v>
      </c>
      <c r="E10" s="6" t="inlineStr">
        <is>
          <t>6% в месяц = клиент живёт около 16 месяцев. Для нишевой профессиональной базы это средняя норма; проверять фактом с третьего месяца продаж.</t>
        </is>
      </c>
    </row>
    <row r="11">
      <c r="A11" s="13" t="inlineStr">
        <is>
          <t>Воронка</t>
        </is>
      </c>
      <c r="B11" s="14" t="n"/>
      <c r="C11" s="14" t="n"/>
      <c r="D11" s="14" t="n"/>
      <c r="E11" s="14" t="n"/>
    </row>
    <row r="12">
      <c r="A12" s="11" t="inlineStr">
        <is>
          <t>Потолок рынка: сколько человек в России ВООБЩЕ может это купить</t>
        </is>
      </c>
      <c r="B12" s="19" t="n">
        <v>5000</v>
      </c>
      <c r="C12" s="20" t="n">
        <v>3000</v>
      </c>
      <c r="D12" s="20" t="n">
        <v>8000</v>
      </c>
      <c r="E12" s="6" t="inlineStr">
        <is>
          <t>Прикидка от нашей же базы: в сделках поимённо названы 164 юридических и 122 финансовых консультанта — это ядро аудитории. Плюс отделы корпоративного развития, фонды, оценщики. Без этого числа экспонента за 24 месяца улетает в фантазию: первая версия смелого сценария давала 1413 подписчиков и 97 млн ₽ выручки.</t>
        </is>
      </c>
    </row>
    <row r="13">
      <c r="A13" s="11" t="inlineStr">
        <is>
          <t>Максимальная доля платящих от потолка</t>
        </is>
      </c>
      <c r="B13" s="17" t="n">
        <v>0.06</v>
      </c>
      <c r="C13" s="18" t="n">
        <v>0.03</v>
      </c>
      <c r="D13" s="18" t="n">
        <v>0.08</v>
      </c>
      <c r="E13" s="6" t="inlineStr">
        <is>
          <t>Сколько из тех, кто может купить, купит на горизонте двух лет. Для нишевого профессионального инструмента 3–8% — обычная вилка.</t>
        </is>
      </c>
    </row>
    <row r="14">
      <c r="A14" s="11" t="inlineStr">
        <is>
          <t>Регистраций в месяц на старте</t>
        </is>
      </c>
      <c r="B14" s="19" t="n">
        <v>12</v>
      </c>
      <c r="C14" s="20" t="n">
        <v>10</v>
      </c>
      <c r="D14" s="20" t="n">
        <v>20</v>
      </c>
      <c r="E14" s="6" t="inlineStr">
        <is>
          <t>Факт: 16 одобренных аккаунтов за 7 недель закрытого теста без единого рубля на продвижение (≈10 в месяц). Берём с небольшим запасом на снятие двери.</t>
        </is>
      </c>
    </row>
    <row r="15">
      <c r="A15" s="11" t="inlineStr">
        <is>
          <t>Прирост регистраций в месяц</t>
        </is>
      </c>
      <c r="B15" s="17" t="n">
        <v>0.1</v>
      </c>
      <c r="C15" s="18" t="n">
        <v>0.04</v>
      </c>
      <c r="D15" s="18" t="n">
        <v>0.16</v>
      </c>
      <c r="E15" s="6" t="inlineStr">
        <is>
          <t>Органика плюс рассылка и канал. Прирост гасится по мере приближения к потолку: чем меньше в рынке тех, кто ещё не зарегистрировался, тем медленнее растём.</t>
        </is>
      </c>
    </row>
    <row r="16">
      <c r="A16" s="11" t="inlineStr">
        <is>
          <t>Доля регистраций, которые начинают платить</t>
        </is>
      </c>
      <c r="B16" s="17" t="n">
        <v>0.1</v>
      </c>
      <c r="C16" s="18" t="n">
        <v>0.06</v>
      </c>
      <c r="D16" s="18" t="n">
        <v>0.15</v>
      </c>
      <c r="E16" s="6" t="inlineStr">
        <is>
          <t>Пока не измерено ничем: платного доступа не было ни дня. Самое зыбкое число в модели — первые же 30 дней продаж его заменят фактом.</t>
        </is>
      </c>
    </row>
    <row r="17">
      <c r="A17" s="11" t="inlineStr">
        <is>
          <t>Задержка от регистрации до оплаты, месяцев</t>
        </is>
      </c>
      <c r="B17" s="19" t="n">
        <v>2</v>
      </c>
      <c r="C17" s="20" t="n">
        <v>3</v>
      </c>
      <c r="D17" s="20" t="n">
        <v>1</v>
      </c>
      <c r="E17" s="6" t="inlineStr">
        <is>
          <t>Профессиональную базу покупают не в первый визит: смотрят, приносят коллегам, ждут задачу.</t>
        </is>
      </c>
    </row>
    <row r="18">
      <c r="A18" s="13" t="inlineStr">
        <is>
          <t>Расходы, ₽ в месяц</t>
        </is>
      </c>
      <c r="B18" s="14" t="n"/>
      <c r="C18" s="14" t="n"/>
      <c r="D18" s="14" t="n"/>
      <c r="E18" s="14" t="n"/>
    </row>
    <row r="19">
      <c r="A19" s="11" t="inlineStr">
        <is>
          <t>Хостинг и домен</t>
        </is>
      </c>
      <c r="B19" s="15" t="n">
        <v>6000</v>
      </c>
      <c r="C19" s="16" t="n">
        <v>4000</v>
      </c>
      <c r="D19" s="16" t="n">
        <v>9000</v>
      </c>
      <c r="E19" s="6" t="inlineStr">
        <is>
          <t>Timeweb: сервер приложения плюс база. УТОЧНИТЬ по счёту — в репозитории суммы нет.</t>
        </is>
      </c>
    </row>
    <row r="20">
      <c r="A20" s="11" t="inlineStr">
        <is>
          <t>Ассистент (Яндекс AI Studio)</t>
        </is>
      </c>
      <c r="B20" s="15" t="n">
        <v>15000</v>
      </c>
      <c r="C20" s="16" t="n">
        <v>8000</v>
      </c>
      <c r="D20" s="16" t="n">
        <v>40000</v>
      </c>
      <c r="E20" s="6" t="inlineStr">
        <is>
          <t>Платная квота по запросам. Растёт вместе с числом подписчиков — в расходах привязано к ним. УТОЧНИТЬ по счёту за последний месяц.</t>
        </is>
      </c>
    </row>
    <row r="21">
      <c r="A21" s="11" t="inlineStr">
        <is>
          <t xml:space="preserve">  из них на одного подписчика</t>
        </is>
      </c>
      <c r="B21" s="15" t="n">
        <v>120</v>
      </c>
      <c r="C21" s="16" t="n">
        <v>80</v>
      </c>
      <c r="D21" s="16" t="n">
        <v>200</v>
      </c>
      <c r="E21" s="6" t="inlineStr">
        <is>
          <t>Переменная часть: чем больше платящих, тем больше вопросов ассистенту.</t>
        </is>
      </c>
    </row>
    <row r="22">
      <c r="A22" s="11" t="inlineStr">
        <is>
          <t>API-ФНС (финансы компаний)</t>
        </is>
      </c>
      <c r="B22" s="15" t="n">
        <v>8000</v>
      </c>
      <c r="C22" s="16" t="n">
        <v>5000</v>
      </c>
      <c r="D22" s="16" t="n">
        <v>12000</v>
      </c>
      <c r="E22" s="6" t="inlineStr">
        <is>
          <t>Платный ключ куплен, годовая квота 3000 запросов. УТОЧНИТЬ фактическую стоимость.</t>
        </is>
      </c>
    </row>
    <row r="23">
      <c r="A23" s="11" t="inlineStr">
        <is>
          <t>Бухгалтерия на аутсорсе</t>
        </is>
      </c>
      <c r="B23" s="15" t="n">
        <v>12000</v>
      </c>
      <c r="C23" s="16" t="n">
        <v>8000</v>
      </c>
      <c r="D23" s="16" t="n">
        <v>18000</v>
      </c>
      <c r="E23" s="6" t="inlineStr">
        <is>
          <t>АО отчитывается сложнее ООО: раскрытие, реестр акционеров, ревизия. Своими силами не вести.</t>
        </is>
      </c>
    </row>
    <row r="24">
      <c r="A24" s="11" t="inlineStr">
        <is>
          <t>Реестродержатель (обязателен для АО)</t>
        </is>
      </c>
      <c r="B24" s="15" t="n">
        <v>4000</v>
      </c>
      <c r="C24" s="16" t="n">
        <v>3000</v>
      </c>
      <c r="D24" s="16" t="n">
        <v>7000</v>
      </c>
      <c r="E24" s="6" t="inlineStr">
        <is>
          <t>У АО реестр акционеров обязан вести лицензированный регистратор — у ООО такой статьи нет вовсе.</t>
        </is>
      </c>
    </row>
    <row r="25">
      <c r="A25" s="11" t="inlineStr">
        <is>
          <t>Юрист и патентный поверенный</t>
        </is>
      </c>
      <c r="B25" s="15" t="n">
        <v>10000</v>
      </c>
      <c r="C25" s="16" t="n">
        <v>5000</v>
      </c>
      <c r="D25" s="16" t="n">
        <v>20000</v>
      </c>
      <c r="E25" s="6" t="inlineStr">
        <is>
          <t>Товарный знак, оферта, политика данных, договоры с подписчиками. В первый год — больше.</t>
        </is>
      </c>
    </row>
    <row r="26">
      <c r="A26" s="11" t="inlineStr">
        <is>
          <t>Продвижение</t>
        </is>
      </c>
      <c r="B26" s="15" t="n">
        <v>60000</v>
      </c>
      <c r="C26" s="16" t="n">
        <v>25000</v>
      </c>
      <c r="D26" s="16" t="n">
        <v>150000</v>
      </c>
      <c r="E26" s="6" t="inlineStr">
        <is>
          <t>Отраслевые каналы, рассылка, конференции. Главная переменная: из неё растёт воронка.</t>
        </is>
      </c>
    </row>
    <row r="27">
      <c r="A27" s="11" t="inlineStr">
        <is>
          <t>Прочее (связь, сервисы, банк)</t>
        </is>
      </c>
      <c r="B27" s="15" t="n">
        <v>8000</v>
      </c>
      <c r="C27" s="16" t="n">
        <v>5000</v>
      </c>
      <c r="D27" s="16" t="n">
        <v>15000</v>
      </c>
      <c r="E27" s="6" t="inlineStr"/>
    </row>
    <row r="28">
      <c r="A28" s="13" t="inlineStr">
        <is>
          <t>Команда</t>
        </is>
      </c>
      <c r="B28" s="14" t="n"/>
      <c r="C28" s="14" t="n"/>
      <c r="D28" s="14" t="n"/>
      <c r="E28" s="14" t="n"/>
    </row>
    <row r="29">
      <c r="A29" s="11" t="inlineStr">
        <is>
          <t>Зарплата гендиректора, ₽ в месяц</t>
        </is>
      </c>
      <c r="B29" s="15" t="n">
        <v>0</v>
      </c>
      <c r="C29" s="16" t="n">
        <v>0</v>
      </c>
      <c r="D29" s="16" t="n">
        <v>100000</v>
      </c>
      <c r="E29" s="6" t="inlineStr">
        <is>
          <t>ВАШЕ РЕШЕНИЕ: трудовой договор не заключаем. НО с 01.01.2026 это больше не отменяет взносы — см. лист «Налоги и риски». Ноль в этой клетке означает «не платим зарплату», а не «не платим взносы».</t>
        </is>
      </c>
    </row>
    <row r="30">
      <c r="A30" s="11" t="inlineStr">
        <is>
          <t>Остальная команда (подряд, ₽ в месяц)</t>
        </is>
      </c>
      <c r="B30" s="15" t="n">
        <v>0</v>
      </c>
      <c r="C30" s="16" t="n">
        <v>0</v>
      </c>
      <c r="D30" s="16" t="n">
        <v>150000</v>
      </c>
      <c r="E30" s="6" t="inlineStr">
        <is>
          <t>Самозанятые и ИП по договорам подряда: взносов нет, но нужен акт и чек по каждой выплате.</t>
        </is>
      </c>
    </row>
    <row r="31">
      <c r="A31" s="11" t="inlineStr">
        <is>
          <t>Месяц, с которого нанимаем разработчика</t>
        </is>
      </c>
      <c r="B31" s="19" t="n">
        <v>13</v>
      </c>
      <c r="C31" s="20" t="n">
        <v>19</v>
      </c>
      <c r="D31" s="20" t="n">
        <v>7</v>
      </c>
      <c r="E31" s="6" t="inlineStr"/>
    </row>
    <row r="32">
      <c r="A32" s="11" t="inlineStr">
        <is>
          <t>Разработчик, ₽ в месяц (с взносами)</t>
        </is>
      </c>
      <c r="B32" s="15" t="n">
        <v>220000</v>
      </c>
      <c r="C32" s="16" t="n">
        <v>180000</v>
      </c>
      <c r="D32" s="16" t="n">
        <v>300000</v>
      </c>
      <c r="E32" s="6" t="inlineStr">
        <is>
          <t>Оклад ~170 тыс + 30% взносов. Ниже 1,5 МРОТ льготы МСП нет, поэтому полные 30%.</t>
        </is>
      </c>
    </row>
    <row r="33">
      <c r="A33" s="13" t="inlineStr">
        <is>
          <t>Налоги и обязательные платежи (проверено 22.09.2026)</t>
        </is>
      </c>
      <c r="B33" s="14" t="n"/>
      <c r="C33" s="14" t="n"/>
      <c r="D33" s="14" t="n"/>
      <c r="E33" s="14" t="n"/>
    </row>
    <row r="34">
      <c r="A34" s="11" t="inlineStr">
        <is>
          <t>Ставка УСН «доходы минус расходы»</t>
        </is>
      </c>
      <c r="B34" s="17" t="n">
        <v>0.15</v>
      </c>
      <c r="C34" s="18" t="n">
        <v>0.15</v>
      </c>
      <c r="D34" s="18" t="n">
        <v>0.15</v>
      </c>
      <c r="E34" s="6" t="inlineStr">
        <is>
          <t>Ст. 346.20 НК РФ. Регион может снизить до 5% — ПРОВЕРИТЬ закон вашего субъекта.</t>
        </is>
      </c>
    </row>
    <row r="35">
      <c r="A35" s="11" t="inlineStr">
        <is>
          <t>Минимальный налог, % от доходов</t>
        </is>
      </c>
      <c r="B35" s="17" t="n">
        <v>0.01</v>
      </c>
      <c r="C35" s="18" t="n">
        <v>0.01</v>
      </c>
      <c r="D35" s="18" t="n">
        <v>0.01</v>
      </c>
      <c r="E35" s="6" t="inlineStr">
        <is>
          <t>Платится, если налог по ставке вышел меньше 1% доходов или получен убыток. В первый год почти всегда он.</t>
        </is>
      </c>
    </row>
    <row r="36">
      <c r="A36" s="11" t="inlineStr">
        <is>
          <t>Порог освобождения от НДС, ₽ в год</t>
        </is>
      </c>
      <c r="B36" s="15" t="n">
        <v>20000000</v>
      </c>
      <c r="C36" s="16" t="n">
        <v>20000000</v>
      </c>
      <c r="D36" s="16" t="n">
        <v>20000000</v>
      </c>
      <c r="E36" s="6" t="inlineStr">
        <is>
          <t>Снижен с 60 до 20 млн с 01.01.2026 и ЗАМОРОЖЕН до конца 2029 — ФЗ от 04.07.2026 № 228-ФЗ.</t>
        </is>
      </c>
    </row>
    <row r="37">
      <c r="A37" s="11" t="inlineStr">
        <is>
          <t>Ставка НДС после порога</t>
        </is>
      </c>
      <c r="B37" s="17" t="n">
        <v>0.05</v>
      </c>
      <c r="C37" s="18" t="n">
        <v>0.05</v>
      </c>
      <c r="D37" s="18" t="n">
        <v>0.22</v>
      </c>
      <c r="E37" s="6" t="inlineStr">
        <is>
          <t>5% без права на вычеты при доходе 20–250 млн ₽ либо 22% с вычетами. Нам выгодна 5%: вычитать почти нечего, расходы у нас безНДСные.</t>
        </is>
      </c>
    </row>
    <row r="38">
      <c r="A38" s="11" t="inlineStr">
        <is>
          <t>МРОТ, ₽ в месяц</t>
        </is>
      </c>
      <c r="B38" s="15" t="n">
        <v>27093</v>
      </c>
      <c r="C38" s="16" t="n">
        <v>27093</v>
      </c>
      <c r="D38" s="16" t="n">
        <v>27093</v>
      </c>
      <c r="E38" s="6" t="inlineStr">
        <is>
          <t>ФЗ от 28.11.2025 № 429-ФЗ.</t>
        </is>
      </c>
    </row>
    <row r="39">
      <c r="A39" s="11" t="inlineStr">
        <is>
          <t>Тариф взносов на выплаты до 1,5 МРОТ</t>
        </is>
      </c>
      <c r="B39" s="17" t="n">
        <v>0.3</v>
      </c>
      <c r="C39" s="18" t="n">
        <v>0.3</v>
      </c>
      <c r="D39" s="18" t="n">
        <v>0.3</v>
      </c>
      <c r="E39" s="6" t="inlineStr">
        <is>
          <t>Льгота МСП 15% действует только на часть СВЫШЕ 1,5 МРОТ (40 640 ₽). Зарплата на уровне МРОТ целиком облагается по 30%.</t>
        </is>
      </c>
    </row>
    <row r="40">
      <c r="A40" s="11" t="inlineStr">
        <is>
          <t>Комиссия за приём платежей</t>
        </is>
      </c>
      <c r="B40" s="17" t="n">
        <v>0.035</v>
      </c>
      <c r="C40" s="18" t="n">
        <v>0.04</v>
      </c>
      <c r="D40" s="18" t="n">
        <v>0.028</v>
      </c>
      <c r="E40" s="6" t="inlineStr">
        <is>
          <t>Эквайринг и платёжный сервис. Считается от выручки.</t>
        </is>
      </c>
    </row>
    <row r="41">
      <c r="A41" s="13" t="inlineStr">
        <is>
          <t>Стартовые условия</t>
        </is>
      </c>
      <c r="B41" s="14" t="n"/>
      <c r="C41" s="14" t="n"/>
      <c r="D41" s="14" t="n"/>
      <c r="E41" s="14" t="n"/>
    </row>
    <row r="42">
      <c r="A42" s="11" t="inlineStr">
        <is>
          <t>Деньги на старте, ₽</t>
        </is>
      </c>
      <c r="B42" s="15" t="n">
        <v>500000</v>
      </c>
      <c r="C42" s="16" t="n">
        <v>200000</v>
      </c>
      <c r="D42" s="16" t="n">
        <v>1500000</v>
      </c>
      <c r="E42" s="6" t="inlineStr">
        <is>
          <t>УТОЧНИТЬ. От этого числа зависит, в каком месяце кончаются деньги.</t>
        </is>
      </c>
    </row>
    <row r="43">
      <c r="A43" s="11" t="inlineStr">
        <is>
          <t>Платящих подписчиков на старте</t>
        </is>
      </c>
      <c r="B43" s="19" t="n">
        <v>0</v>
      </c>
      <c r="C43" s="20" t="n">
        <v>0</v>
      </c>
      <c r="D43" s="20" t="n">
        <v>0</v>
      </c>
      <c r="E43" s="6" t="inlineStr">
        <is>
          <t>Платного доступа сейчас нет ни у кого: 16 аккаунтов — закрытый тест по заявке.</t>
        </is>
      </c>
    </row>
    <row r="45">
      <c r="A45" s="8" t="inlineStr">
        <is>
          <t>Что в модели НЕ учтено — и это сказано нарочно</t>
        </is>
      </c>
    </row>
    <row r="46" ht="30" customHeight="1">
      <c r="A46" s="4" t="inlineStr">
        <is>
          <t>•</t>
        </is>
      </c>
      <c r="B46" s="6" t="inlineStr">
        <is>
          <t>Корпоративные лицензии на команду. Вы выбрали считать только подписку на доступ; лицензия на отдел даёт чек в разы выше, но и цикл сделки длиннее. Это запас, а не план.</t>
        </is>
      </c>
    </row>
    <row r="47" ht="30" customHeight="1">
      <c r="A47" s="4" t="inlineStr">
        <is>
          <t>•</t>
        </is>
      </c>
      <c r="B47" s="6" t="inlineStr">
        <is>
          <t>Гранты и субсидии для ИТ. Аккредитация Минцифры требует не менее 7 человек в штате — нам недоступна.</t>
        </is>
      </c>
    </row>
    <row r="48" ht="30" customHeight="1">
      <c r="A48" s="4" t="inlineStr">
        <is>
          <t>•</t>
        </is>
      </c>
      <c r="B48" s="6" t="inlineStr">
        <is>
          <t>Продажа отраслевых обзоров и выгрузок. Деньги приходят раньше подписки, но выручка неровная.</t>
        </is>
      </c>
    </row>
    <row r="49" ht="30" customHeight="1">
      <c r="A49" s="4" t="inlineStr">
        <is>
          <t>•</t>
        </is>
      </c>
      <c r="B49" s="6" t="inlineStr">
        <is>
          <t>Доход от рекламы и партнёрств: на аудитории меньше тысячи человек это не деньги, а отвлечение.</t>
        </is>
      </c>
    </row>
  </sheetData>
  <mergeCells count="4">
    <mergeCell ref="B46:E46"/>
    <mergeCell ref="B47:E47"/>
    <mergeCell ref="B49:E49"/>
    <mergeCell ref="B48:E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60" customWidth="1" min="26" max="26"/>
  </cols>
  <sheetData>
    <row r="1">
      <c r="A1" s="1" t="inlineStr">
        <is>
          <t>Расчёт по месяцам — базовый сценарий</t>
        </is>
      </c>
    </row>
    <row r="2">
      <c r="A2" s="2" t="inlineStr">
        <is>
          <t>Каждая клетка — формула от листа «Допущения». Меняете там — меняется здесь.</t>
        </is>
      </c>
    </row>
    <row r="3">
      <c r="A3" s="3" t="inlineStr">
        <is>
          <t>Месяц</t>
        </is>
      </c>
      <c r="B3" s="3" t="inlineStr">
        <is>
          <t>окт 2026</t>
        </is>
      </c>
      <c r="C3" s="3" t="inlineStr">
        <is>
          <t>ноя 2026</t>
        </is>
      </c>
      <c r="D3" s="3" t="inlineStr">
        <is>
          <t>дек 2026</t>
        </is>
      </c>
      <c r="E3" s="3" t="inlineStr">
        <is>
          <t>янв 2027</t>
        </is>
      </c>
      <c r="F3" s="3" t="inlineStr">
        <is>
          <t>фев 2027</t>
        </is>
      </c>
      <c r="G3" s="3" t="inlineStr">
        <is>
          <t>мар 2027</t>
        </is>
      </c>
      <c r="H3" s="3" t="inlineStr">
        <is>
          <t>апр 2027</t>
        </is>
      </c>
      <c r="I3" s="3" t="inlineStr">
        <is>
          <t>май 2027</t>
        </is>
      </c>
      <c r="J3" s="3" t="inlineStr">
        <is>
          <t>июн 2027</t>
        </is>
      </c>
      <c r="K3" s="3" t="inlineStr">
        <is>
          <t>июл 2027</t>
        </is>
      </c>
      <c r="L3" s="3" t="inlineStr">
        <is>
          <t>авг 2027</t>
        </is>
      </c>
      <c r="M3" s="3" t="inlineStr">
        <is>
          <t>сен 2027</t>
        </is>
      </c>
      <c r="N3" s="3" t="inlineStr">
        <is>
          <t>окт 2027</t>
        </is>
      </c>
      <c r="O3" s="3" t="inlineStr">
        <is>
          <t>ноя 2027</t>
        </is>
      </c>
      <c r="P3" s="3" t="inlineStr">
        <is>
          <t>дек 2027</t>
        </is>
      </c>
      <c r="Q3" s="3" t="inlineStr">
        <is>
          <t>янв 2028</t>
        </is>
      </c>
      <c r="R3" s="3" t="inlineStr">
        <is>
          <t>фев 2028</t>
        </is>
      </c>
      <c r="S3" s="3" t="inlineStr">
        <is>
          <t>мар 2028</t>
        </is>
      </c>
      <c r="T3" s="3" t="inlineStr">
        <is>
          <t>апр 2028</t>
        </is>
      </c>
      <c r="U3" s="3" t="inlineStr">
        <is>
          <t>май 2028</t>
        </is>
      </c>
      <c r="V3" s="3" t="inlineStr">
        <is>
          <t>июн 2028</t>
        </is>
      </c>
      <c r="W3" s="3" t="inlineStr">
        <is>
          <t>июл 2028</t>
        </is>
      </c>
      <c r="X3" s="3" t="inlineStr">
        <is>
          <t>авг 2028</t>
        </is>
      </c>
      <c r="Y3" s="3" t="inlineStr">
        <is>
          <t>сен 2028</t>
        </is>
      </c>
    </row>
    <row r="4">
      <c r="A4" s="13" t="inlineStr">
        <is>
          <t>Воронка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4" t="inlineStr">
        <is>
          <t>Зарегистрировано всего (накопленно)</t>
        </is>
      </c>
      <c r="B5" s="21">
        <f>B6</f>
        <v/>
      </c>
      <c r="C5" s="21">
        <f>B5+C6</f>
        <v/>
      </c>
      <c r="D5" s="21">
        <f>C5+D6</f>
        <v/>
      </c>
      <c r="E5" s="21">
        <f>D5+E6</f>
        <v/>
      </c>
      <c r="F5" s="21">
        <f>E5+F6</f>
        <v/>
      </c>
      <c r="G5" s="21">
        <f>F5+G6</f>
        <v/>
      </c>
      <c r="H5" s="21">
        <f>G5+H6</f>
        <v/>
      </c>
      <c r="I5" s="21">
        <f>H5+I6</f>
        <v/>
      </c>
      <c r="J5" s="21">
        <f>I5+J6</f>
        <v/>
      </c>
      <c r="K5" s="21">
        <f>J5+K6</f>
        <v/>
      </c>
      <c r="L5" s="21">
        <f>K5+L6</f>
        <v/>
      </c>
      <c r="M5" s="21">
        <f>L5+M6</f>
        <v/>
      </c>
      <c r="N5" s="21">
        <f>M5+N6</f>
        <v/>
      </c>
      <c r="O5" s="21">
        <f>N5+O6</f>
        <v/>
      </c>
      <c r="P5" s="21">
        <f>O5+P6</f>
        <v/>
      </c>
      <c r="Q5" s="21">
        <f>P5+Q6</f>
        <v/>
      </c>
      <c r="R5" s="21">
        <f>Q5+R6</f>
        <v/>
      </c>
      <c r="S5" s="21">
        <f>R5+S6</f>
        <v/>
      </c>
      <c r="T5" s="21">
        <f>S5+T6</f>
        <v/>
      </c>
      <c r="U5" s="21">
        <f>T5+U6</f>
        <v/>
      </c>
      <c r="V5" s="21">
        <f>U5+V6</f>
        <v/>
      </c>
      <c r="W5" s="21">
        <f>V5+W6</f>
        <v/>
      </c>
      <c r="X5" s="21">
        <f>W5+X6</f>
        <v/>
      </c>
      <c r="Y5" s="21">
        <f>X5+Y6</f>
        <v/>
      </c>
    </row>
    <row r="6">
      <c r="A6" s="4" t="inlineStr">
        <is>
          <t>Регистраций за месяц</t>
        </is>
      </c>
      <c r="B6" s="21">
        <f>MAX(0,Допущения!$B$14*(1+Допущения!$B$15)^0*MAX(0,1))</f>
        <v/>
      </c>
      <c r="C6" s="21">
        <f>MAX(0,Допущения!$B$14*(1+Допущения!$B$15)^1*MAX(0,(1-B5/Допущения!$B$12)))</f>
        <v/>
      </c>
      <c r="D6" s="21">
        <f>MAX(0,Допущения!$B$14*(1+Допущения!$B$15)^2*MAX(0,(1-C5/Допущения!$B$12)))</f>
        <v/>
      </c>
      <c r="E6" s="21">
        <f>MAX(0,Допущения!$B$14*(1+Допущения!$B$15)^3*MAX(0,(1-D5/Допущения!$B$12)))</f>
        <v/>
      </c>
      <c r="F6" s="21">
        <f>MAX(0,Допущения!$B$14*(1+Допущения!$B$15)^4*MAX(0,(1-E5/Допущения!$B$12)))</f>
        <v/>
      </c>
      <c r="G6" s="21">
        <f>MAX(0,Допущения!$B$14*(1+Допущения!$B$15)^5*MAX(0,(1-F5/Допущения!$B$12)))</f>
        <v/>
      </c>
      <c r="H6" s="21">
        <f>MAX(0,Допущения!$B$14*(1+Допущения!$B$15)^6*MAX(0,(1-G5/Допущения!$B$12)))</f>
        <v/>
      </c>
      <c r="I6" s="21">
        <f>MAX(0,Допущения!$B$14*(1+Допущения!$B$15)^7*MAX(0,(1-H5/Допущения!$B$12)))</f>
        <v/>
      </c>
      <c r="J6" s="21">
        <f>MAX(0,Допущения!$B$14*(1+Допущения!$B$15)^8*MAX(0,(1-I5/Допущения!$B$12)))</f>
        <v/>
      </c>
      <c r="K6" s="21">
        <f>MAX(0,Допущения!$B$14*(1+Допущения!$B$15)^9*MAX(0,(1-J5/Допущения!$B$12)))</f>
        <v/>
      </c>
      <c r="L6" s="21">
        <f>MAX(0,Допущения!$B$14*(1+Допущения!$B$15)^10*MAX(0,(1-K5/Допущения!$B$12)))</f>
        <v/>
      </c>
      <c r="M6" s="21">
        <f>MAX(0,Допущения!$B$14*(1+Допущения!$B$15)^11*MAX(0,(1-L5/Допущения!$B$12)))</f>
        <v/>
      </c>
      <c r="N6" s="21">
        <f>MAX(0,Допущения!$B$14*(1+Допущения!$B$15)^12*MAX(0,(1-M5/Допущения!$B$12)))</f>
        <v/>
      </c>
      <c r="O6" s="21">
        <f>MAX(0,Допущения!$B$14*(1+Допущения!$B$15)^13*MAX(0,(1-N5/Допущения!$B$12)))</f>
        <v/>
      </c>
      <c r="P6" s="21">
        <f>MAX(0,Допущения!$B$14*(1+Допущения!$B$15)^14*MAX(0,(1-O5/Допущения!$B$12)))</f>
        <v/>
      </c>
      <c r="Q6" s="21">
        <f>MAX(0,Допущения!$B$14*(1+Допущения!$B$15)^15*MAX(0,(1-P5/Допущения!$B$12)))</f>
        <v/>
      </c>
      <c r="R6" s="21">
        <f>MAX(0,Допущения!$B$14*(1+Допущения!$B$15)^16*MAX(0,(1-Q5/Допущения!$B$12)))</f>
        <v/>
      </c>
      <c r="S6" s="21">
        <f>MAX(0,Допущения!$B$14*(1+Допущения!$B$15)^17*MAX(0,(1-R5/Допущения!$B$12)))</f>
        <v/>
      </c>
      <c r="T6" s="21">
        <f>MAX(0,Допущения!$B$14*(1+Допущения!$B$15)^18*MAX(0,(1-S5/Допущения!$B$12)))</f>
        <v/>
      </c>
      <c r="U6" s="21">
        <f>MAX(0,Допущения!$B$14*(1+Допущения!$B$15)^19*MAX(0,(1-T5/Допущения!$B$12)))</f>
        <v/>
      </c>
      <c r="V6" s="21">
        <f>MAX(0,Допущения!$B$14*(1+Допущения!$B$15)^20*MAX(0,(1-U5/Допущения!$B$12)))</f>
        <v/>
      </c>
      <c r="W6" s="21">
        <f>MAX(0,Допущения!$B$14*(1+Допущения!$B$15)^21*MAX(0,(1-V5/Допущения!$B$12)))</f>
        <v/>
      </c>
      <c r="X6" s="21">
        <f>MAX(0,Допущения!$B$14*(1+Допущения!$B$15)^22*MAX(0,(1-W5/Допущения!$B$12)))</f>
        <v/>
      </c>
      <c r="Y6" s="21">
        <f>MAX(0,Допущения!$B$14*(1+Допущения!$B$15)^23*MAX(0,(1-X5/Допущения!$B$12)))</f>
        <v/>
      </c>
      <c r="Z6" s="6" t="inlineStr">
        <is>
          <t>Рост гасится по мере заполнения рынка: множитель «сколько ещё осталось незарегистрированных» из потолка. Без него экспонента обещает рост, которому неоткуда взяться.</t>
        </is>
      </c>
    </row>
    <row r="7">
      <c r="A7" s="4" t="inlineStr">
        <is>
          <t>Новых платящих за месяц</t>
        </is>
      </c>
      <c r="B7" s="21">
        <f>IFERROR(ROUND(INDEX($B$6:$Y$6,1,COLUMN()-1-Допущения!$B$17)*Допущения!$B$16,0),0)</f>
        <v/>
      </c>
      <c r="C7" s="21">
        <f>IFERROR(ROUND(INDEX($B$6:$Y$6,1,COLUMN()-1-Допущения!$B$17)*Допущения!$B$16,0),0)</f>
        <v/>
      </c>
      <c r="D7" s="21">
        <f>IFERROR(ROUND(INDEX($B$6:$Y$6,1,COLUMN()-1-Допущения!$B$17)*Допущения!$B$16,0),0)</f>
        <v/>
      </c>
      <c r="E7" s="21">
        <f>IFERROR(ROUND(INDEX($B$6:$Y$6,1,COLUMN()-1-Допущения!$B$17)*Допущения!$B$16,0),0)</f>
        <v/>
      </c>
      <c r="F7" s="21">
        <f>IFERROR(ROUND(INDEX($B$6:$Y$6,1,COLUMN()-1-Допущения!$B$17)*Допущения!$B$16,0),0)</f>
        <v/>
      </c>
      <c r="G7" s="21">
        <f>IFERROR(ROUND(INDEX($B$6:$Y$6,1,COLUMN()-1-Допущения!$B$17)*Допущения!$B$16,0),0)</f>
        <v/>
      </c>
      <c r="H7" s="21">
        <f>IFERROR(ROUND(INDEX($B$6:$Y$6,1,COLUMN()-1-Допущения!$B$17)*Допущения!$B$16,0),0)</f>
        <v/>
      </c>
      <c r="I7" s="21">
        <f>IFERROR(ROUND(INDEX($B$6:$Y$6,1,COLUMN()-1-Допущения!$B$17)*Допущения!$B$16,0),0)</f>
        <v/>
      </c>
      <c r="J7" s="21">
        <f>IFERROR(ROUND(INDEX($B$6:$Y$6,1,COLUMN()-1-Допущения!$B$17)*Допущения!$B$16,0),0)</f>
        <v/>
      </c>
      <c r="K7" s="21">
        <f>IFERROR(ROUND(INDEX($B$6:$Y$6,1,COLUMN()-1-Допущения!$B$17)*Допущения!$B$16,0),0)</f>
        <v/>
      </c>
      <c r="L7" s="21">
        <f>IFERROR(ROUND(INDEX($B$6:$Y$6,1,COLUMN()-1-Допущения!$B$17)*Допущения!$B$16,0),0)</f>
        <v/>
      </c>
      <c r="M7" s="21">
        <f>IFERROR(ROUND(INDEX($B$6:$Y$6,1,COLUMN()-1-Допущения!$B$17)*Допущения!$B$16,0),0)</f>
        <v/>
      </c>
      <c r="N7" s="21">
        <f>IFERROR(ROUND(INDEX($B$6:$Y$6,1,COLUMN()-1-Допущения!$B$17)*Допущения!$B$16,0),0)</f>
        <v/>
      </c>
      <c r="O7" s="21">
        <f>IFERROR(ROUND(INDEX($B$6:$Y$6,1,COLUMN()-1-Допущения!$B$17)*Допущения!$B$16,0),0)</f>
        <v/>
      </c>
      <c r="P7" s="21">
        <f>IFERROR(ROUND(INDEX($B$6:$Y$6,1,COLUMN()-1-Допущения!$B$17)*Допущения!$B$16,0),0)</f>
        <v/>
      </c>
      <c r="Q7" s="21">
        <f>IFERROR(ROUND(INDEX($B$6:$Y$6,1,COLUMN()-1-Допущения!$B$17)*Допущения!$B$16,0),0)</f>
        <v/>
      </c>
      <c r="R7" s="21">
        <f>IFERROR(ROUND(INDEX($B$6:$Y$6,1,COLUMN()-1-Допущения!$B$17)*Допущения!$B$16,0),0)</f>
        <v/>
      </c>
      <c r="S7" s="21">
        <f>IFERROR(ROUND(INDEX($B$6:$Y$6,1,COLUMN()-1-Допущения!$B$17)*Допущения!$B$16,0),0)</f>
        <v/>
      </c>
      <c r="T7" s="21">
        <f>IFERROR(ROUND(INDEX($B$6:$Y$6,1,COLUMN()-1-Допущения!$B$17)*Допущения!$B$16,0),0)</f>
        <v/>
      </c>
      <c r="U7" s="21">
        <f>IFERROR(ROUND(INDEX($B$6:$Y$6,1,COLUMN()-1-Допущения!$B$17)*Допущения!$B$16,0),0)</f>
        <v/>
      </c>
      <c r="V7" s="21">
        <f>IFERROR(ROUND(INDEX($B$6:$Y$6,1,COLUMN()-1-Допущения!$B$17)*Допущения!$B$16,0),0)</f>
        <v/>
      </c>
      <c r="W7" s="21">
        <f>IFERROR(ROUND(INDEX($B$6:$Y$6,1,COLUMN()-1-Допущения!$B$17)*Допущения!$B$16,0),0)</f>
        <v/>
      </c>
      <c r="X7" s="21">
        <f>IFERROR(ROUND(INDEX($B$6:$Y$6,1,COLUMN()-1-Допущения!$B$17)*Допущения!$B$16,0),0)</f>
        <v/>
      </c>
      <c r="Y7" s="21">
        <f>IFERROR(ROUND(INDEX($B$6:$Y$6,1,COLUMN()-1-Допущения!$B$17)*Допущения!$B$16,0),0)</f>
        <v/>
      </c>
      <c r="Z7" s="6" t="inlineStr">
        <is>
          <t>Регистрация превращается в оплату не сразу: берём воронку с задержкой из допущений.</t>
        </is>
      </c>
    </row>
    <row r="8">
      <c r="A8" s="4" t="inlineStr">
        <is>
          <t>Платящих всего на конец месяца</t>
        </is>
      </c>
      <c r="B8" s="21">
        <f>MIN(Допущения!$B$43+B7,Допущения!$B$12*Допущения!$B$13)</f>
        <v/>
      </c>
      <c r="C8" s="21">
        <f>MIN(B8*(1-Допущения!$B$10*(1-Допущения!$B$9*1/24))+C7,Допущения!$B$12*Допущения!$B$13)</f>
        <v/>
      </c>
      <c r="D8" s="21">
        <f>MIN(C8*(1-Допущения!$B$10*(1-Допущения!$B$9*2/24))+D7,Допущения!$B$12*Допущения!$B$13)</f>
        <v/>
      </c>
      <c r="E8" s="21">
        <f>MIN(D8*(1-Допущения!$B$10*(1-Допущения!$B$9*3/24))+E7,Допущения!$B$12*Допущения!$B$13)</f>
        <v/>
      </c>
      <c r="F8" s="21">
        <f>MIN(E8*(1-Допущения!$B$10*(1-Допущения!$B$9*4/24))+F7,Допущения!$B$12*Допущения!$B$13)</f>
        <v/>
      </c>
      <c r="G8" s="21">
        <f>MIN(F8*(1-Допущения!$B$10*(1-Допущения!$B$9*5/24))+G7,Допущения!$B$12*Допущения!$B$13)</f>
        <v/>
      </c>
      <c r="H8" s="21">
        <f>MIN(G8*(1-Допущения!$B$10*(1-Допущения!$B$9*6/24))+H7,Допущения!$B$12*Допущения!$B$13)</f>
        <v/>
      </c>
      <c r="I8" s="21">
        <f>MIN(H8*(1-Допущения!$B$10*(1-Допущения!$B$9*7/24))+I7,Допущения!$B$12*Допущения!$B$13)</f>
        <v/>
      </c>
      <c r="J8" s="21">
        <f>MIN(I8*(1-Допущения!$B$10*(1-Допущения!$B$9*8/24))+J7,Допущения!$B$12*Допущения!$B$13)</f>
        <v/>
      </c>
      <c r="K8" s="21">
        <f>MIN(J8*(1-Допущения!$B$10*(1-Допущения!$B$9*9/24))+K7,Допущения!$B$12*Допущения!$B$13)</f>
        <v/>
      </c>
      <c r="L8" s="21">
        <f>MIN(K8*(1-Допущения!$B$10*(1-Допущения!$B$9*10/24))+L7,Допущения!$B$12*Допущения!$B$13)</f>
        <v/>
      </c>
      <c r="M8" s="21">
        <f>MIN(L8*(1-Допущения!$B$10*(1-Допущения!$B$9*11/24))+M7,Допущения!$B$12*Допущения!$B$13)</f>
        <v/>
      </c>
      <c r="N8" s="21">
        <f>MIN(M8*(1-Допущения!$B$10*(1-Допущения!$B$9*12/24))+N7,Допущения!$B$12*Допущения!$B$13)</f>
        <v/>
      </c>
      <c r="O8" s="21">
        <f>MIN(N8*(1-Допущения!$B$10*(1-Допущения!$B$9*13/24))+O7,Допущения!$B$12*Допущения!$B$13)</f>
        <v/>
      </c>
      <c r="P8" s="21">
        <f>MIN(O8*(1-Допущения!$B$10*(1-Допущения!$B$9*14/24))+P7,Допущения!$B$12*Допущения!$B$13)</f>
        <v/>
      </c>
      <c r="Q8" s="21">
        <f>MIN(P8*(1-Допущения!$B$10*(1-Допущения!$B$9*15/24))+Q7,Допущения!$B$12*Допущения!$B$13)</f>
        <v/>
      </c>
      <c r="R8" s="21">
        <f>MIN(Q8*(1-Допущения!$B$10*(1-Допущения!$B$9*16/24))+R7,Допущения!$B$12*Допущения!$B$13)</f>
        <v/>
      </c>
      <c r="S8" s="21">
        <f>MIN(R8*(1-Допущения!$B$10*(1-Допущения!$B$9*17/24))+S7,Допущения!$B$12*Допущения!$B$13)</f>
        <v/>
      </c>
      <c r="T8" s="21">
        <f>MIN(S8*(1-Допущения!$B$10*(1-Допущения!$B$9*18/24))+T7,Допущения!$B$12*Допущения!$B$13)</f>
        <v/>
      </c>
      <c r="U8" s="21">
        <f>MIN(T8*(1-Допущения!$B$10*(1-Допущения!$B$9*19/24))+U7,Допущения!$B$12*Допущения!$B$13)</f>
        <v/>
      </c>
      <c r="V8" s="21">
        <f>MIN(U8*(1-Допущения!$B$10*(1-Допущения!$B$9*20/24))+V7,Допущения!$B$12*Допущения!$B$13)</f>
        <v/>
      </c>
      <c r="W8" s="21">
        <f>MIN(V8*(1-Допущения!$B$10*(1-Допущения!$B$9*21/24))+W7,Допущения!$B$12*Допущения!$B$13)</f>
        <v/>
      </c>
      <c r="X8" s="21">
        <f>MIN(W8*(1-Допущения!$B$10*(1-Допущения!$B$9*22/24))+X7,Допущения!$B$12*Допущения!$B$13)</f>
        <v/>
      </c>
      <c r="Y8" s="21">
        <f>MIN(X8*(1-Допущения!$B$10*(1-Допущения!$B$9*23/24))+Y7,Допущения!$B$12*Допущения!$B$13)</f>
        <v/>
      </c>
      <c r="Z8" s="6" t="inlineStr">
        <is>
          <t>Годовые подписки не отваливаются помесячно — доля годовых растёт линейно и гасит отток.</t>
        </is>
      </c>
    </row>
    <row r="9">
      <c r="A9" s="13" t="inlineStr">
        <is>
          <t>Выручка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</row>
    <row r="10">
      <c r="A10" s="4" t="inlineStr">
        <is>
          <t>Выручка за месяц</t>
        </is>
      </c>
      <c r="B10" s="22">
        <f>B8*(Допущения!$B$7*(1-Допущения!$B$9*0/24)+Допущения!$B$8/12*Допущения!$B$9*0/24)</f>
        <v/>
      </c>
      <c r="C10" s="22">
        <f>C8*(Допущения!$B$7*(1-Допущения!$B$9*1/24)+Допущения!$B$8/12*Допущения!$B$9*1/24)</f>
        <v/>
      </c>
      <c r="D10" s="22">
        <f>D8*(Допущения!$B$7*(1-Допущения!$B$9*2/24)+Допущения!$B$8/12*Допущения!$B$9*2/24)</f>
        <v/>
      </c>
      <c r="E10" s="22">
        <f>E8*(Допущения!$B$7*(1-Допущения!$B$9*3/24)+Допущения!$B$8/12*Допущения!$B$9*3/24)</f>
        <v/>
      </c>
      <c r="F10" s="22">
        <f>F8*(Допущения!$B$7*(1-Допущения!$B$9*4/24)+Допущения!$B$8/12*Допущения!$B$9*4/24)</f>
        <v/>
      </c>
      <c r="G10" s="22">
        <f>G8*(Допущения!$B$7*(1-Допущения!$B$9*5/24)+Допущения!$B$8/12*Допущения!$B$9*5/24)</f>
        <v/>
      </c>
      <c r="H10" s="22">
        <f>H8*(Допущения!$B$7*(1-Допущения!$B$9*6/24)+Допущения!$B$8/12*Допущения!$B$9*6/24)</f>
        <v/>
      </c>
      <c r="I10" s="22">
        <f>I8*(Допущения!$B$7*(1-Допущения!$B$9*7/24)+Допущения!$B$8/12*Допущения!$B$9*7/24)</f>
        <v/>
      </c>
      <c r="J10" s="22">
        <f>J8*(Допущения!$B$7*(1-Допущения!$B$9*8/24)+Допущения!$B$8/12*Допущения!$B$9*8/24)</f>
        <v/>
      </c>
      <c r="K10" s="22">
        <f>K8*(Допущения!$B$7*(1-Допущения!$B$9*9/24)+Допущения!$B$8/12*Допущения!$B$9*9/24)</f>
        <v/>
      </c>
      <c r="L10" s="22">
        <f>L8*(Допущения!$B$7*(1-Допущения!$B$9*10/24)+Допущения!$B$8/12*Допущения!$B$9*10/24)</f>
        <v/>
      </c>
      <c r="M10" s="22">
        <f>M8*(Допущения!$B$7*(1-Допущения!$B$9*11/24)+Допущения!$B$8/12*Допущения!$B$9*11/24)</f>
        <v/>
      </c>
      <c r="N10" s="22">
        <f>N8*(Допущения!$B$7*(1-Допущения!$B$9*12/24)+Допущения!$B$8/12*Допущения!$B$9*12/24)</f>
        <v/>
      </c>
      <c r="O10" s="22">
        <f>O8*(Допущения!$B$7*(1-Допущения!$B$9*13/24)+Допущения!$B$8/12*Допущения!$B$9*13/24)</f>
        <v/>
      </c>
      <c r="P10" s="22">
        <f>P8*(Допущения!$B$7*(1-Допущения!$B$9*14/24)+Допущения!$B$8/12*Допущения!$B$9*14/24)</f>
        <v/>
      </c>
      <c r="Q10" s="22">
        <f>Q8*(Допущения!$B$7*(1-Допущения!$B$9*15/24)+Допущения!$B$8/12*Допущения!$B$9*15/24)</f>
        <v/>
      </c>
      <c r="R10" s="22">
        <f>R8*(Допущения!$B$7*(1-Допущения!$B$9*16/24)+Допущения!$B$8/12*Допущения!$B$9*16/24)</f>
        <v/>
      </c>
      <c r="S10" s="22">
        <f>S8*(Допущения!$B$7*(1-Допущения!$B$9*17/24)+Допущения!$B$8/12*Допущения!$B$9*17/24)</f>
        <v/>
      </c>
      <c r="T10" s="22">
        <f>T8*(Допущения!$B$7*(1-Допущения!$B$9*18/24)+Допущения!$B$8/12*Допущения!$B$9*18/24)</f>
        <v/>
      </c>
      <c r="U10" s="22">
        <f>U8*(Допущения!$B$7*(1-Допущения!$B$9*19/24)+Допущения!$B$8/12*Допущения!$B$9*19/24)</f>
        <v/>
      </c>
      <c r="V10" s="22">
        <f>V8*(Допущения!$B$7*(1-Допущения!$B$9*20/24)+Допущения!$B$8/12*Допущения!$B$9*20/24)</f>
        <v/>
      </c>
      <c r="W10" s="22">
        <f>W8*(Допущения!$B$7*(1-Допущения!$B$9*21/24)+Допущения!$B$8/12*Допущения!$B$9*21/24)</f>
        <v/>
      </c>
      <c r="X10" s="22">
        <f>X8*(Допущения!$B$7*(1-Допущения!$B$9*22/24)+Допущения!$B$8/12*Допущения!$B$9*22/24)</f>
        <v/>
      </c>
      <c r="Y10" s="22">
        <f>Y8*(Допущения!$B$7*(1-Допущения!$B$9*23/24)+Допущения!$B$8/12*Допущения!$B$9*23/24)</f>
        <v/>
      </c>
      <c r="Z10" s="6" t="inlineStr">
        <is>
          <t>Годовая подписка признаётся равномерно (1/12 в месяц) — так честнее для P&amp;L. Деньгами она приходит сразу, это видно в денежном потоке ниже.</t>
        </is>
      </c>
    </row>
    <row r="11">
      <c r="A11" s="4" t="inlineStr">
        <is>
          <t>Поступило денег за месяц</t>
        </is>
      </c>
      <c r="B11" s="22">
        <f>B10+B7*Допущения!$B$9*0/24*(Допущения!$B$8-Допущения!$B$8/12)</f>
        <v/>
      </c>
      <c r="C11" s="22">
        <f>C10+C7*Допущения!$B$9*1/24*(Допущения!$B$8-Допущения!$B$8/12)</f>
        <v/>
      </c>
      <c r="D11" s="22">
        <f>D10+D7*Допущения!$B$9*2/24*(Допущения!$B$8-Допущения!$B$8/12)</f>
        <v/>
      </c>
      <c r="E11" s="22">
        <f>E10+E7*Допущения!$B$9*3/24*(Допущения!$B$8-Допущения!$B$8/12)</f>
        <v/>
      </c>
      <c r="F11" s="22">
        <f>F10+F7*Допущения!$B$9*4/24*(Допущения!$B$8-Допущения!$B$8/12)</f>
        <v/>
      </c>
      <c r="G11" s="22">
        <f>G10+G7*Допущения!$B$9*5/24*(Допущения!$B$8-Допущения!$B$8/12)</f>
        <v/>
      </c>
      <c r="H11" s="22">
        <f>H10+H7*Допущения!$B$9*6/24*(Допущения!$B$8-Допущения!$B$8/12)</f>
        <v/>
      </c>
      <c r="I11" s="22">
        <f>I10+I7*Допущения!$B$9*7/24*(Допущения!$B$8-Допущения!$B$8/12)</f>
        <v/>
      </c>
      <c r="J11" s="22">
        <f>J10+J7*Допущения!$B$9*8/24*(Допущения!$B$8-Допущения!$B$8/12)</f>
        <v/>
      </c>
      <c r="K11" s="22">
        <f>K10+K7*Допущения!$B$9*9/24*(Допущения!$B$8-Допущения!$B$8/12)</f>
        <v/>
      </c>
      <c r="L11" s="22">
        <f>L10+L7*Допущения!$B$9*10/24*(Допущения!$B$8-Допущения!$B$8/12)</f>
        <v/>
      </c>
      <c r="M11" s="22">
        <f>M10+M7*Допущения!$B$9*11/24*(Допущения!$B$8-Допущения!$B$8/12)</f>
        <v/>
      </c>
      <c r="N11" s="22">
        <f>N10+N7*Допущения!$B$9*12/24*(Допущения!$B$8-Допущения!$B$8/12)</f>
        <v/>
      </c>
      <c r="O11" s="22">
        <f>O10+O7*Допущения!$B$9*13/24*(Допущения!$B$8-Допущения!$B$8/12)</f>
        <v/>
      </c>
      <c r="P11" s="22">
        <f>P10+P7*Допущения!$B$9*14/24*(Допущения!$B$8-Допущения!$B$8/12)</f>
        <v/>
      </c>
      <c r="Q11" s="22">
        <f>Q10+Q7*Допущения!$B$9*15/24*(Допущения!$B$8-Допущения!$B$8/12)</f>
        <v/>
      </c>
      <c r="R11" s="22">
        <f>R10+R7*Допущения!$B$9*16/24*(Допущения!$B$8-Допущения!$B$8/12)</f>
        <v/>
      </c>
      <c r="S11" s="22">
        <f>S10+S7*Допущения!$B$9*17/24*(Допущения!$B$8-Допущения!$B$8/12)</f>
        <v/>
      </c>
      <c r="T11" s="22">
        <f>T10+T7*Допущения!$B$9*18/24*(Допущения!$B$8-Допущения!$B$8/12)</f>
        <v/>
      </c>
      <c r="U11" s="22">
        <f>U10+U7*Допущения!$B$9*19/24*(Допущения!$B$8-Допущения!$B$8/12)</f>
        <v/>
      </c>
      <c r="V11" s="22">
        <f>V10+V7*Допущения!$B$9*20/24*(Допущения!$B$8-Допущения!$B$8/12)</f>
        <v/>
      </c>
      <c r="W11" s="22">
        <f>W10+W7*Допущения!$B$9*21/24*(Допущения!$B$8-Допущения!$B$8/12)</f>
        <v/>
      </c>
      <c r="X11" s="22">
        <f>X10+X7*Допущения!$B$9*22/24*(Допущения!$B$8-Допущения!$B$8/12)</f>
        <v/>
      </c>
      <c r="Y11" s="22">
        <f>Y10+Y7*Допущения!$B$9*23/24*(Допущения!$B$8-Допущения!$B$8/12)</f>
        <v/>
      </c>
      <c r="Z11" s="6" t="inlineStr">
        <is>
          <t>Годовые подписчики платят за год вперёд: в месяц продажи приходит вся сумма.</t>
        </is>
      </c>
    </row>
    <row r="12">
      <c r="A12" s="13" t="inlineStr">
        <is>
          <t>Расходы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</row>
    <row r="13">
      <c r="A13" s="4" t="inlineStr">
        <is>
          <t>Хостинг и домен</t>
        </is>
      </c>
      <c r="B13" s="22">
        <f>Допущения!$B$19</f>
        <v/>
      </c>
      <c r="C13" s="22">
        <f>Допущения!$B$19</f>
        <v/>
      </c>
      <c r="D13" s="22">
        <f>Допущения!$B$19</f>
        <v/>
      </c>
      <c r="E13" s="22">
        <f>Допущения!$B$19</f>
        <v/>
      </c>
      <c r="F13" s="22">
        <f>Допущения!$B$19</f>
        <v/>
      </c>
      <c r="G13" s="22">
        <f>Допущения!$B$19</f>
        <v/>
      </c>
      <c r="H13" s="22">
        <f>Допущения!$B$19</f>
        <v/>
      </c>
      <c r="I13" s="22">
        <f>Допущения!$B$19</f>
        <v/>
      </c>
      <c r="J13" s="22">
        <f>Допущения!$B$19</f>
        <v/>
      </c>
      <c r="K13" s="22">
        <f>Допущения!$B$19</f>
        <v/>
      </c>
      <c r="L13" s="22">
        <f>Допущения!$B$19</f>
        <v/>
      </c>
      <c r="M13" s="22">
        <f>Допущения!$B$19</f>
        <v/>
      </c>
      <c r="N13" s="22">
        <f>Допущения!$B$19</f>
        <v/>
      </c>
      <c r="O13" s="22">
        <f>Допущения!$B$19</f>
        <v/>
      </c>
      <c r="P13" s="22">
        <f>Допущения!$B$19</f>
        <v/>
      </c>
      <c r="Q13" s="22">
        <f>Допущения!$B$19</f>
        <v/>
      </c>
      <c r="R13" s="22">
        <f>Допущения!$B$19</f>
        <v/>
      </c>
      <c r="S13" s="22">
        <f>Допущения!$B$19</f>
        <v/>
      </c>
      <c r="T13" s="22">
        <f>Допущения!$B$19</f>
        <v/>
      </c>
      <c r="U13" s="22">
        <f>Допущения!$B$19</f>
        <v/>
      </c>
      <c r="V13" s="22">
        <f>Допущения!$B$19</f>
        <v/>
      </c>
      <c r="W13" s="22">
        <f>Допущения!$B$19</f>
        <v/>
      </c>
      <c r="X13" s="22">
        <f>Допущения!$B$19</f>
        <v/>
      </c>
      <c r="Y13" s="22">
        <f>Допущения!$B$19</f>
        <v/>
      </c>
    </row>
    <row r="14">
      <c r="A14" s="4" t="inlineStr">
        <is>
          <t>Ассистент</t>
        </is>
      </c>
      <c r="B14" s="22">
        <f>Допущения!$B$20+B8*Допущения!$B$21</f>
        <v/>
      </c>
      <c r="C14" s="22">
        <f>Допущения!$B$20+C8*Допущения!$B$21</f>
        <v/>
      </c>
      <c r="D14" s="22">
        <f>Допущения!$B$20+D8*Допущения!$B$21</f>
        <v/>
      </c>
      <c r="E14" s="22">
        <f>Допущения!$B$20+E8*Допущения!$B$21</f>
        <v/>
      </c>
      <c r="F14" s="22">
        <f>Допущения!$B$20+F8*Допущения!$B$21</f>
        <v/>
      </c>
      <c r="G14" s="22">
        <f>Допущения!$B$20+G8*Допущения!$B$21</f>
        <v/>
      </c>
      <c r="H14" s="22">
        <f>Допущения!$B$20+H8*Допущения!$B$21</f>
        <v/>
      </c>
      <c r="I14" s="22">
        <f>Допущения!$B$20+I8*Допущения!$B$21</f>
        <v/>
      </c>
      <c r="J14" s="22">
        <f>Допущения!$B$20+J8*Допущения!$B$21</f>
        <v/>
      </c>
      <c r="K14" s="22">
        <f>Допущения!$B$20+K8*Допущения!$B$21</f>
        <v/>
      </c>
      <c r="L14" s="22">
        <f>Допущения!$B$20+L8*Допущения!$B$21</f>
        <v/>
      </c>
      <c r="M14" s="22">
        <f>Допущения!$B$20+M8*Допущения!$B$21</f>
        <v/>
      </c>
      <c r="N14" s="22">
        <f>Допущения!$B$20+N8*Допущения!$B$21</f>
        <v/>
      </c>
      <c r="O14" s="22">
        <f>Допущения!$B$20+O8*Допущения!$B$21</f>
        <v/>
      </c>
      <c r="P14" s="22">
        <f>Допущения!$B$20+P8*Допущения!$B$21</f>
        <v/>
      </c>
      <c r="Q14" s="22">
        <f>Допущения!$B$20+Q8*Допущения!$B$21</f>
        <v/>
      </c>
      <c r="R14" s="22">
        <f>Допущения!$B$20+R8*Допущения!$B$21</f>
        <v/>
      </c>
      <c r="S14" s="22">
        <f>Допущения!$B$20+S8*Допущения!$B$21</f>
        <v/>
      </c>
      <c r="T14" s="22">
        <f>Допущения!$B$20+T8*Допущения!$B$21</f>
        <v/>
      </c>
      <c r="U14" s="22">
        <f>Допущения!$B$20+U8*Допущения!$B$21</f>
        <v/>
      </c>
      <c r="V14" s="22">
        <f>Допущения!$B$20+V8*Допущения!$B$21</f>
        <v/>
      </c>
      <c r="W14" s="22">
        <f>Допущения!$B$20+W8*Допущения!$B$21</f>
        <v/>
      </c>
      <c r="X14" s="22">
        <f>Допущения!$B$20+X8*Допущения!$B$21</f>
        <v/>
      </c>
      <c r="Y14" s="22">
        <f>Допущения!$B$20+Y8*Допущения!$B$21</f>
        <v/>
      </c>
    </row>
    <row r="15">
      <c r="A15" s="4" t="inlineStr">
        <is>
          <t>API-ФНС</t>
        </is>
      </c>
      <c r="B15" s="22">
        <f>Допущения!$B$22</f>
        <v/>
      </c>
      <c r="C15" s="22">
        <f>Допущения!$B$22</f>
        <v/>
      </c>
      <c r="D15" s="22">
        <f>Допущения!$B$22</f>
        <v/>
      </c>
      <c r="E15" s="22">
        <f>Допущения!$B$22</f>
        <v/>
      </c>
      <c r="F15" s="22">
        <f>Допущения!$B$22</f>
        <v/>
      </c>
      <c r="G15" s="22">
        <f>Допущения!$B$22</f>
        <v/>
      </c>
      <c r="H15" s="22">
        <f>Допущения!$B$22</f>
        <v/>
      </c>
      <c r="I15" s="22">
        <f>Допущения!$B$22</f>
        <v/>
      </c>
      <c r="J15" s="22">
        <f>Допущения!$B$22</f>
        <v/>
      </c>
      <c r="K15" s="22">
        <f>Допущения!$B$22</f>
        <v/>
      </c>
      <c r="L15" s="22">
        <f>Допущения!$B$22</f>
        <v/>
      </c>
      <c r="M15" s="22">
        <f>Допущения!$B$22</f>
        <v/>
      </c>
      <c r="N15" s="22">
        <f>Допущения!$B$22</f>
        <v/>
      </c>
      <c r="O15" s="22">
        <f>Допущения!$B$22</f>
        <v/>
      </c>
      <c r="P15" s="22">
        <f>Допущения!$B$22</f>
        <v/>
      </c>
      <c r="Q15" s="22">
        <f>Допущения!$B$22</f>
        <v/>
      </c>
      <c r="R15" s="22">
        <f>Допущения!$B$22</f>
        <v/>
      </c>
      <c r="S15" s="22">
        <f>Допущения!$B$22</f>
        <v/>
      </c>
      <c r="T15" s="22">
        <f>Допущения!$B$22</f>
        <v/>
      </c>
      <c r="U15" s="22">
        <f>Допущения!$B$22</f>
        <v/>
      </c>
      <c r="V15" s="22">
        <f>Допущения!$B$22</f>
        <v/>
      </c>
      <c r="W15" s="22">
        <f>Допущения!$B$22</f>
        <v/>
      </c>
      <c r="X15" s="22">
        <f>Допущения!$B$22</f>
        <v/>
      </c>
      <c r="Y15" s="22">
        <f>Допущения!$B$22</f>
        <v/>
      </c>
    </row>
    <row r="16">
      <c r="A16" s="4" t="inlineStr">
        <is>
          <t>Бухгалтерия</t>
        </is>
      </c>
      <c r="B16" s="22">
        <f>Допущения!$B$23</f>
        <v/>
      </c>
      <c r="C16" s="22">
        <f>Допущения!$B$23</f>
        <v/>
      </c>
      <c r="D16" s="22">
        <f>Допущения!$B$23</f>
        <v/>
      </c>
      <c r="E16" s="22">
        <f>Допущения!$B$23</f>
        <v/>
      </c>
      <c r="F16" s="22">
        <f>Допущения!$B$23</f>
        <v/>
      </c>
      <c r="G16" s="22">
        <f>Допущения!$B$23</f>
        <v/>
      </c>
      <c r="H16" s="22">
        <f>Допущения!$B$23</f>
        <v/>
      </c>
      <c r="I16" s="22">
        <f>Допущения!$B$23</f>
        <v/>
      </c>
      <c r="J16" s="22">
        <f>Допущения!$B$23</f>
        <v/>
      </c>
      <c r="K16" s="22">
        <f>Допущения!$B$23</f>
        <v/>
      </c>
      <c r="L16" s="22">
        <f>Допущения!$B$23</f>
        <v/>
      </c>
      <c r="M16" s="22">
        <f>Допущения!$B$23</f>
        <v/>
      </c>
      <c r="N16" s="22">
        <f>Допущения!$B$23</f>
        <v/>
      </c>
      <c r="O16" s="22">
        <f>Допущения!$B$23</f>
        <v/>
      </c>
      <c r="P16" s="22">
        <f>Допущения!$B$23</f>
        <v/>
      </c>
      <c r="Q16" s="22">
        <f>Допущения!$B$23</f>
        <v/>
      </c>
      <c r="R16" s="22">
        <f>Допущения!$B$23</f>
        <v/>
      </c>
      <c r="S16" s="22">
        <f>Допущения!$B$23</f>
        <v/>
      </c>
      <c r="T16" s="22">
        <f>Допущения!$B$23</f>
        <v/>
      </c>
      <c r="U16" s="22">
        <f>Допущения!$B$23</f>
        <v/>
      </c>
      <c r="V16" s="22">
        <f>Допущения!$B$23</f>
        <v/>
      </c>
      <c r="W16" s="22">
        <f>Допущения!$B$23</f>
        <v/>
      </c>
      <c r="X16" s="22">
        <f>Допущения!$B$23</f>
        <v/>
      </c>
      <c r="Y16" s="22">
        <f>Допущения!$B$23</f>
        <v/>
      </c>
    </row>
    <row r="17">
      <c r="A17" s="4" t="inlineStr">
        <is>
          <t>Реестродержатель (АО)</t>
        </is>
      </c>
      <c r="B17" s="22">
        <f>Допущения!$B$24</f>
        <v/>
      </c>
      <c r="C17" s="22">
        <f>Допущения!$B$24</f>
        <v/>
      </c>
      <c r="D17" s="22">
        <f>Допущения!$B$24</f>
        <v/>
      </c>
      <c r="E17" s="22">
        <f>Допущения!$B$24</f>
        <v/>
      </c>
      <c r="F17" s="22">
        <f>Допущения!$B$24</f>
        <v/>
      </c>
      <c r="G17" s="22">
        <f>Допущения!$B$24</f>
        <v/>
      </c>
      <c r="H17" s="22">
        <f>Допущения!$B$24</f>
        <v/>
      </c>
      <c r="I17" s="22">
        <f>Допущения!$B$24</f>
        <v/>
      </c>
      <c r="J17" s="22">
        <f>Допущения!$B$24</f>
        <v/>
      </c>
      <c r="K17" s="22">
        <f>Допущения!$B$24</f>
        <v/>
      </c>
      <c r="L17" s="22">
        <f>Допущения!$B$24</f>
        <v/>
      </c>
      <c r="M17" s="22">
        <f>Допущения!$B$24</f>
        <v/>
      </c>
      <c r="N17" s="22">
        <f>Допущения!$B$24</f>
        <v/>
      </c>
      <c r="O17" s="22">
        <f>Допущения!$B$24</f>
        <v/>
      </c>
      <c r="P17" s="22">
        <f>Допущения!$B$24</f>
        <v/>
      </c>
      <c r="Q17" s="22">
        <f>Допущения!$B$24</f>
        <v/>
      </c>
      <c r="R17" s="22">
        <f>Допущения!$B$24</f>
        <v/>
      </c>
      <c r="S17" s="22">
        <f>Допущения!$B$24</f>
        <v/>
      </c>
      <c r="T17" s="22">
        <f>Допущения!$B$24</f>
        <v/>
      </c>
      <c r="U17" s="22">
        <f>Допущения!$B$24</f>
        <v/>
      </c>
      <c r="V17" s="22">
        <f>Допущения!$B$24</f>
        <v/>
      </c>
      <c r="W17" s="22">
        <f>Допущения!$B$24</f>
        <v/>
      </c>
      <c r="X17" s="22">
        <f>Допущения!$B$24</f>
        <v/>
      </c>
      <c r="Y17" s="22">
        <f>Допущения!$B$24</f>
        <v/>
      </c>
    </row>
    <row r="18">
      <c r="A18" s="4" t="inlineStr">
        <is>
          <t>Юрист и товарный знак</t>
        </is>
      </c>
      <c r="B18" s="22">
        <f>Допущения!$B$25</f>
        <v/>
      </c>
      <c r="C18" s="22">
        <f>Допущения!$B$25</f>
        <v/>
      </c>
      <c r="D18" s="22">
        <f>Допущения!$B$25</f>
        <v/>
      </c>
      <c r="E18" s="22">
        <f>Допущения!$B$25</f>
        <v/>
      </c>
      <c r="F18" s="22">
        <f>Допущения!$B$25</f>
        <v/>
      </c>
      <c r="G18" s="22">
        <f>Допущения!$B$25</f>
        <v/>
      </c>
      <c r="H18" s="22">
        <f>Допущения!$B$25</f>
        <v/>
      </c>
      <c r="I18" s="22">
        <f>Допущения!$B$25</f>
        <v/>
      </c>
      <c r="J18" s="22">
        <f>Допущения!$B$25</f>
        <v/>
      </c>
      <c r="K18" s="22">
        <f>Допущения!$B$25</f>
        <v/>
      </c>
      <c r="L18" s="22">
        <f>Допущения!$B$25</f>
        <v/>
      </c>
      <c r="M18" s="22">
        <f>Допущения!$B$25</f>
        <v/>
      </c>
      <c r="N18" s="22">
        <f>Допущения!$B$25</f>
        <v/>
      </c>
      <c r="O18" s="22">
        <f>Допущения!$B$25</f>
        <v/>
      </c>
      <c r="P18" s="22">
        <f>Допущения!$B$25</f>
        <v/>
      </c>
      <c r="Q18" s="22">
        <f>Допущения!$B$25</f>
        <v/>
      </c>
      <c r="R18" s="22">
        <f>Допущения!$B$25</f>
        <v/>
      </c>
      <c r="S18" s="22">
        <f>Допущения!$B$25</f>
        <v/>
      </c>
      <c r="T18" s="22">
        <f>Допущения!$B$25</f>
        <v/>
      </c>
      <c r="U18" s="22">
        <f>Допущения!$B$25</f>
        <v/>
      </c>
      <c r="V18" s="22">
        <f>Допущения!$B$25</f>
        <v/>
      </c>
      <c r="W18" s="22">
        <f>Допущения!$B$25</f>
        <v/>
      </c>
      <c r="X18" s="22">
        <f>Допущения!$B$25</f>
        <v/>
      </c>
      <c r="Y18" s="22">
        <f>Допущения!$B$25</f>
        <v/>
      </c>
    </row>
    <row r="19">
      <c r="A19" s="4" t="inlineStr">
        <is>
          <t>Продвижение</t>
        </is>
      </c>
      <c r="B19" s="22">
        <f>Допущения!$B$26</f>
        <v/>
      </c>
      <c r="C19" s="22">
        <f>Допущения!$B$26</f>
        <v/>
      </c>
      <c r="D19" s="22">
        <f>Допущения!$B$26</f>
        <v/>
      </c>
      <c r="E19" s="22">
        <f>Допущения!$B$26</f>
        <v/>
      </c>
      <c r="F19" s="22">
        <f>Допущения!$B$26</f>
        <v/>
      </c>
      <c r="G19" s="22">
        <f>Допущения!$B$26</f>
        <v/>
      </c>
      <c r="H19" s="22">
        <f>Допущения!$B$26</f>
        <v/>
      </c>
      <c r="I19" s="22">
        <f>Допущения!$B$26</f>
        <v/>
      </c>
      <c r="J19" s="22">
        <f>Допущения!$B$26</f>
        <v/>
      </c>
      <c r="K19" s="22">
        <f>Допущения!$B$26</f>
        <v/>
      </c>
      <c r="L19" s="22">
        <f>Допущения!$B$26</f>
        <v/>
      </c>
      <c r="M19" s="22">
        <f>Допущения!$B$26</f>
        <v/>
      </c>
      <c r="N19" s="22">
        <f>Допущения!$B$26</f>
        <v/>
      </c>
      <c r="O19" s="22">
        <f>Допущения!$B$26</f>
        <v/>
      </c>
      <c r="P19" s="22">
        <f>Допущения!$B$26</f>
        <v/>
      </c>
      <c r="Q19" s="22">
        <f>Допущения!$B$26</f>
        <v/>
      </c>
      <c r="R19" s="22">
        <f>Допущения!$B$26</f>
        <v/>
      </c>
      <c r="S19" s="22">
        <f>Допущения!$B$26</f>
        <v/>
      </c>
      <c r="T19" s="22">
        <f>Допущения!$B$26</f>
        <v/>
      </c>
      <c r="U19" s="22">
        <f>Допущения!$B$26</f>
        <v/>
      </c>
      <c r="V19" s="22">
        <f>Допущения!$B$26</f>
        <v/>
      </c>
      <c r="W19" s="22">
        <f>Допущения!$B$26</f>
        <v/>
      </c>
      <c r="X19" s="22">
        <f>Допущения!$B$26</f>
        <v/>
      </c>
      <c r="Y19" s="22">
        <f>Допущения!$B$26</f>
        <v/>
      </c>
    </row>
    <row r="20">
      <c r="A20" s="4" t="inlineStr">
        <is>
          <t>Прочее</t>
        </is>
      </c>
      <c r="B20" s="22">
        <f>Допущения!$B$27</f>
        <v/>
      </c>
      <c r="C20" s="22">
        <f>Допущения!$B$27</f>
        <v/>
      </c>
      <c r="D20" s="22">
        <f>Допущения!$B$27</f>
        <v/>
      </c>
      <c r="E20" s="22">
        <f>Допущения!$B$27</f>
        <v/>
      </c>
      <c r="F20" s="22">
        <f>Допущения!$B$27</f>
        <v/>
      </c>
      <c r="G20" s="22">
        <f>Допущения!$B$27</f>
        <v/>
      </c>
      <c r="H20" s="22">
        <f>Допущения!$B$27</f>
        <v/>
      </c>
      <c r="I20" s="22">
        <f>Допущения!$B$27</f>
        <v/>
      </c>
      <c r="J20" s="22">
        <f>Допущения!$B$27</f>
        <v/>
      </c>
      <c r="K20" s="22">
        <f>Допущения!$B$27</f>
        <v/>
      </c>
      <c r="L20" s="22">
        <f>Допущения!$B$27</f>
        <v/>
      </c>
      <c r="M20" s="22">
        <f>Допущения!$B$27</f>
        <v/>
      </c>
      <c r="N20" s="22">
        <f>Допущения!$B$27</f>
        <v/>
      </c>
      <c r="O20" s="22">
        <f>Допущения!$B$27</f>
        <v/>
      </c>
      <c r="P20" s="22">
        <f>Допущения!$B$27</f>
        <v/>
      </c>
      <c r="Q20" s="22">
        <f>Допущения!$B$27</f>
        <v/>
      </c>
      <c r="R20" s="22">
        <f>Допущения!$B$27</f>
        <v/>
      </c>
      <c r="S20" s="22">
        <f>Допущения!$B$27</f>
        <v/>
      </c>
      <c r="T20" s="22">
        <f>Допущения!$B$27</f>
        <v/>
      </c>
      <c r="U20" s="22">
        <f>Допущения!$B$27</f>
        <v/>
      </c>
      <c r="V20" s="22">
        <f>Допущения!$B$27</f>
        <v/>
      </c>
      <c r="W20" s="22">
        <f>Допущения!$B$27</f>
        <v/>
      </c>
      <c r="X20" s="22">
        <f>Допущения!$B$27</f>
        <v/>
      </c>
      <c r="Y20" s="22">
        <f>Допущения!$B$27</f>
        <v/>
      </c>
    </row>
    <row r="21">
      <c r="A21" s="4" t="inlineStr">
        <is>
          <t>Комиссия за приём платежей</t>
        </is>
      </c>
      <c r="B21" s="22">
        <f>B11*Допущения!$B$40</f>
        <v/>
      </c>
      <c r="C21" s="22">
        <f>C11*Допущения!$B$40</f>
        <v/>
      </c>
      <c r="D21" s="22">
        <f>D11*Допущения!$B$40</f>
        <v/>
      </c>
      <c r="E21" s="22">
        <f>E11*Допущения!$B$40</f>
        <v/>
      </c>
      <c r="F21" s="22">
        <f>F11*Допущения!$B$40</f>
        <v/>
      </c>
      <c r="G21" s="22">
        <f>G11*Допущения!$B$40</f>
        <v/>
      </c>
      <c r="H21" s="22">
        <f>H11*Допущения!$B$40</f>
        <v/>
      </c>
      <c r="I21" s="22">
        <f>I11*Допущения!$B$40</f>
        <v/>
      </c>
      <c r="J21" s="22">
        <f>J11*Допущения!$B$40</f>
        <v/>
      </c>
      <c r="K21" s="22">
        <f>K11*Допущения!$B$40</f>
        <v/>
      </c>
      <c r="L21" s="22">
        <f>L11*Допущения!$B$40</f>
        <v/>
      </c>
      <c r="M21" s="22">
        <f>M11*Допущения!$B$40</f>
        <v/>
      </c>
      <c r="N21" s="22">
        <f>N11*Допущения!$B$40</f>
        <v/>
      </c>
      <c r="O21" s="22">
        <f>O11*Допущения!$B$40</f>
        <v/>
      </c>
      <c r="P21" s="22">
        <f>P11*Допущения!$B$40</f>
        <v/>
      </c>
      <c r="Q21" s="22">
        <f>Q11*Допущения!$B$40</f>
        <v/>
      </c>
      <c r="R21" s="22">
        <f>R11*Допущения!$B$40</f>
        <v/>
      </c>
      <c r="S21" s="22">
        <f>S11*Допущения!$B$40</f>
        <v/>
      </c>
      <c r="T21" s="22">
        <f>T11*Допущения!$B$40</f>
        <v/>
      </c>
      <c r="U21" s="22">
        <f>U11*Допущения!$B$40</f>
        <v/>
      </c>
      <c r="V21" s="22">
        <f>V11*Допущения!$B$40</f>
        <v/>
      </c>
      <c r="W21" s="22">
        <f>W11*Допущения!$B$40</f>
        <v/>
      </c>
      <c r="X21" s="22">
        <f>X11*Допущения!$B$40</f>
        <v/>
      </c>
      <c r="Y21" s="22">
        <f>Y11*Допущения!$B$40</f>
        <v/>
      </c>
    </row>
    <row r="22">
      <c r="A22" s="4" t="inlineStr">
        <is>
          <t>Зарплата гендиректора</t>
        </is>
      </c>
      <c r="B22" s="22">
        <f>Допущения!$B$29</f>
        <v/>
      </c>
      <c r="C22" s="22">
        <f>Допущения!$B$29</f>
        <v/>
      </c>
      <c r="D22" s="22">
        <f>Допущения!$B$29</f>
        <v/>
      </c>
      <c r="E22" s="22">
        <f>Допущения!$B$29</f>
        <v/>
      </c>
      <c r="F22" s="22">
        <f>Допущения!$B$29</f>
        <v/>
      </c>
      <c r="G22" s="22">
        <f>Допущения!$B$29</f>
        <v/>
      </c>
      <c r="H22" s="22">
        <f>Допущения!$B$29</f>
        <v/>
      </c>
      <c r="I22" s="22">
        <f>Допущения!$B$29</f>
        <v/>
      </c>
      <c r="J22" s="22">
        <f>Допущения!$B$29</f>
        <v/>
      </c>
      <c r="K22" s="22">
        <f>Допущения!$B$29</f>
        <v/>
      </c>
      <c r="L22" s="22">
        <f>Допущения!$B$29</f>
        <v/>
      </c>
      <c r="M22" s="22">
        <f>Допущения!$B$29</f>
        <v/>
      </c>
      <c r="N22" s="22">
        <f>Допущения!$B$29</f>
        <v/>
      </c>
      <c r="O22" s="22">
        <f>Допущения!$B$29</f>
        <v/>
      </c>
      <c r="P22" s="22">
        <f>Допущения!$B$29</f>
        <v/>
      </c>
      <c r="Q22" s="22">
        <f>Допущения!$B$29</f>
        <v/>
      </c>
      <c r="R22" s="22">
        <f>Допущения!$B$29</f>
        <v/>
      </c>
      <c r="S22" s="22">
        <f>Допущения!$B$29</f>
        <v/>
      </c>
      <c r="T22" s="22">
        <f>Допущения!$B$29</f>
        <v/>
      </c>
      <c r="U22" s="22">
        <f>Допущения!$B$29</f>
        <v/>
      </c>
      <c r="V22" s="22">
        <f>Допущения!$B$29</f>
        <v/>
      </c>
      <c r="W22" s="22">
        <f>Допущения!$B$29</f>
        <v/>
      </c>
      <c r="X22" s="22">
        <f>Допущения!$B$29</f>
        <v/>
      </c>
      <c r="Y22" s="22">
        <f>Допущения!$B$29</f>
        <v/>
      </c>
    </row>
    <row r="23">
      <c r="A23" s="4" t="inlineStr">
        <is>
          <t>Команда на подряде</t>
        </is>
      </c>
      <c r="B23" s="22">
        <f>Допущения!$B$30</f>
        <v/>
      </c>
      <c r="C23" s="22">
        <f>Допущения!$B$30</f>
        <v/>
      </c>
      <c r="D23" s="22">
        <f>Допущения!$B$30</f>
        <v/>
      </c>
      <c r="E23" s="22">
        <f>Допущения!$B$30</f>
        <v/>
      </c>
      <c r="F23" s="22">
        <f>Допущения!$B$30</f>
        <v/>
      </c>
      <c r="G23" s="22">
        <f>Допущения!$B$30</f>
        <v/>
      </c>
      <c r="H23" s="22">
        <f>Допущения!$B$30</f>
        <v/>
      </c>
      <c r="I23" s="22">
        <f>Допущения!$B$30</f>
        <v/>
      </c>
      <c r="J23" s="22">
        <f>Допущения!$B$30</f>
        <v/>
      </c>
      <c r="K23" s="22">
        <f>Допущения!$B$30</f>
        <v/>
      </c>
      <c r="L23" s="22">
        <f>Допущения!$B$30</f>
        <v/>
      </c>
      <c r="M23" s="22">
        <f>Допущения!$B$30</f>
        <v/>
      </c>
      <c r="N23" s="22">
        <f>Допущения!$B$30</f>
        <v/>
      </c>
      <c r="O23" s="22">
        <f>Допущения!$B$30</f>
        <v/>
      </c>
      <c r="P23" s="22">
        <f>Допущения!$B$30</f>
        <v/>
      </c>
      <c r="Q23" s="22">
        <f>Допущения!$B$30</f>
        <v/>
      </c>
      <c r="R23" s="22">
        <f>Допущения!$B$30</f>
        <v/>
      </c>
      <c r="S23" s="22">
        <f>Допущения!$B$30</f>
        <v/>
      </c>
      <c r="T23" s="22">
        <f>Допущения!$B$30</f>
        <v/>
      </c>
      <c r="U23" s="22">
        <f>Допущения!$B$30</f>
        <v/>
      </c>
      <c r="V23" s="22">
        <f>Допущения!$B$30</f>
        <v/>
      </c>
      <c r="W23" s="22">
        <f>Допущения!$B$30</f>
        <v/>
      </c>
      <c r="X23" s="22">
        <f>Допущения!$B$30</f>
        <v/>
      </c>
      <c r="Y23" s="22">
        <f>Допущения!$B$30</f>
        <v/>
      </c>
    </row>
    <row r="24">
      <c r="A24" s="4" t="inlineStr">
        <is>
          <t>Разработчик</t>
        </is>
      </c>
      <c r="B24" s="22">
        <f>IF(1&gt;=Допущения!$B$31,Допущения!$B$32,0)</f>
        <v/>
      </c>
      <c r="C24" s="22">
        <f>IF(2&gt;=Допущения!$B$31,Допущения!$B$32,0)</f>
        <v/>
      </c>
      <c r="D24" s="22">
        <f>IF(3&gt;=Допущения!$B$31,Допущения!$B$32,0)</f>
        <v/>
      </c>
      <c r="E24" s="22">
        <f>IF(4&gt;=Допущения!$B$31,Допущения!$B$32,0)</f>
        <v/>
      </c>
      <c r="F24" s="22">
        <f>IF(5&gt;=Допущения!$B$31,Допущения!$B$32,0)</f>
        <v/>
      </c>
      <c r="G24" s="22">
        <f>IF(6&gt;=Допущения!$B$31,Допущения!$B$32,0)</f>
        <v/>
      </c>
      <c r="H24" s="22">
        <f>IF(7&gt;=Допущения!$B$31,Допущения!$B$32,0)</f>
        <v/>
      </c>
      <c r="I24" s="22">
        <f>IF(8&gt;=Допущения!$B$31,Допущения!$B$32,0)</f>
        <v/>
      </c>
      <c r="J24" s="22">
        <f>IF(9&gt;=Допущения!$B$31,Допущения!$B$32,0)</f>
        <v/>
      </c>
      <c r="K24" s="22">
        <f>IF(10&gt;=Допущения!$B$31,Допущения!$B$32,0)</f>
        <v/>
      </c>
      <c r="L24" s="22">
        <f>IF(11&gt;=Допущения!$B$31,Допущения!$B$32,0)</f>
        <v/>
      </c>
      <c r="M24" s="22">
        <f>IF(12&gt;=Допущения!$B$31,Допущения!$B$32,0)</f>
        <v/>
      </c>
      <c r="N24" s="22">
        <f>IF(13&gt;=Допущения!$B$31,Допущения!$B$32,0)</f>
        <v/>
      </c>
      <c r="O24" s="22">
        <f>IF(14&gt;=Допущения!$B$31,Допущения!$B$32,0)</f>
        <v/>
      </c>
      <c r="P24" s="22">
        <f>IF(15&gt;=Допущения!$B$31,Допущения!$B$32,0)</f>
        <v/>
      </c>
      <c r="Q24" s="22">
        <f>IF(16&gt;=Допущения!$B$31,Допущения!$B$32,0)</f>
        <v/>
      </c>
      <c r="R24" s="22">
        <f>IF(17&gt;=Допущения!$B$31,Допущения!$B$32,0)</f>
        <v/>
      </c>
      <c r="S24" s="22">
        <f>IF(18&gt;=Допущения!$B$31,Допущения!$B$32,0)</f>
        <v/>
      </c>
      <c r="T24" s="22">
        <f>IF(19&gt;=Допущения!$B$31,Допущения!$B$32,0)</f>
        <v/>
      </c>
      <c r="U24" s="22">
        <f>IF(20&gt;=Допущения!$B$31,Допущения!$B$32,0)</f>
        <v/>
      </c>
      <c r="V24" s="22">
        <f>IF(21&gt;=Допущения!$B$31,Допущения!$B$32,0)</f>
        <v/>
      </c>
      <c r="W24" s="22">
        <f>IF(22&gt;=Допущения!$B$31,Допущения!$B$32,0)</f>
        <v/>
      </c>
      <c r="X24" s="22">
        <f>IF(23&gt;=Допущения!$B$31,Допущения!$B$32,0)</f>
        <v/>
      </c>
      <c r="Y24" s="22">
        <f>IF(24&gt;=Допущения!$B$31,Допущения!$B$32,0)</f>
        <v/>
      </c>
    </row>
    <row r="25">
      <c r="A25" s="23" t="inlineStr">
        <is>
          <t>Страховые взносы за гендиректора</t>
        </is>
      </c>
      <c r="B25" s="10">
        <f>MAX(Допущения!$B$29,Допущения!$B$38)*Допущения!$B$39</f>
        <v/>
      </c>
      <c r="C25" s="10">
        <f>MAX(Допущения!$B$29,Допущения!$B$38)*Допущения!$B$39</f>
        <v/>
      </c>
      <c r="D25" s="10">
        <f>MAX(Допущения!$B$29,Допущения!$B$38)*Допущения!$B$39</f>
        <v/>
      </c>
      <c r="E25" s="10">
        <f>MAX(Допущения!$B$29,Допущения!$B$38)*Допущения!$B$39</f>
        <v/>
      </c>
      <c r="F25" s="10">
        <f>MAX(Допущения!$B$29,Допущения!$B$38)*Допущения!$B$39</f>
        <v/>
      </c>
      <c r="G25" s="10">
        <f>MAX(Допущения!$B$29,Допущения!$B$38)*Допущения!$B$39</f>
        <v/>
      </c>
      <c r="H25" s="10">
        <f>MAX(Допущения!$B$29,Допущения!$B$38)*Допущения!$B$39</f>
        <v/>
      </c>
      <c r="I25" s="10">
        <f>MAX(Допущения!$B$29,Допущения!$B$38)*Допущения!$B$39</f>
        <v/>
      </c>
      <c r="J25" s="10">
        <f>MAX(Допущения!$B$29,Допущения!$B$38)*Допущения!$B$39</f>
        <v/>
      </c>
      <c r="K25" s="10">
        <f>MAX(Допущения!$B$29,Допущения!$B$38)*Допущения!$B$39</f>
        <v/>
      </c>
      <c r="L25" s="10">
        <f>MAX(Допущения!$B$29,Допущения!$B$38)*Допущения!$B$39</f>
        <v/>
      </c>
      <c r="M25" s="10">
        <f>MAX(Допущения!$B$29,Допущения!$B$38)*Допущения!$B$39</f>
        <v/>
      </c>
      <c r="N25" s="10">
        <f>MAX(Допущения!$B$29,Допущения!$B$38)*Допущения!$B$39</f>
        <v/>
      </c>
      <c r="O25" s="10">
        <f>MAX(Допущения!$B$29,Допущения!$B$38)*Допущения!$B$39</f>
        <v/>
      </c>
      <c r="P25" s="10">
        <f>MAX(Допущения!$B$29,Допущения!$B$38)*Допущения!$B$39</f>
        <v/>
      </c>
      <c r="Q25" s="10">
        <f>MAX(Допущения!$B$29,Допущения!$B$38)*Допущения!$B$39</f>
        <v/>
      </c>
      <c r="R25" s="10">
        <f>MAX(Допущения!$B$29,Допущения!$B$38)*Допущения!$B$39</f>
        <v/>
      </c>
      <c r="S25" s="10">
        <f>MAX(Допущения!$B$29,Допущения!$B$38)*Допущения!$B$39</f>
        <v/>
      </c>
      <c r="T25" s="10">
        <f>MAX(Допущения!$B$29,Допущения!$B$38)*Допущения!$B$39</f>
        <v/>
      </c>
      <c r="U25" s="10">
        <f>MAX(Допущения!$B$29,Допущения!$B$38)*Допущения!$B$39</f>
        <v/>
      </c>
      <c r="V25" s="10">
        <f>MAX(Допущения!$B$29,Допущения!$B$38)*Допущения!$B$39</f>
        <v/>
      </c>
      <c r="W25" s="10">
        <f>MAX(Допущения!$B$29,Допущения!$B$38)*Допущения!$B$39</f>
        <v/>
      </c>
      <c r="X25" s="10">
        <f>MAX(Допущения!$B$29,Допущения!$B$38)*Допущения!$B$39</f>
        <v/>
      </c>
      <c r="Y25" s="10">
        <f>MAX(Допущения!$B$29,Допущения!$B$38)*Допущения!$B$39</f>
        <v/>
      </c>
      <c r="Z25" s="6" t="inlineStr">
        <is>
          <t>ОБЯЗАТЕЛЬНЫ С 01.01.2026 даже без трудового договора и без зарплаты: ФЗ от 28.11.2025 № 425-ФЗ изменил п. 1 ст. 421 НК РФ — если выплат меньше МРОТ, взносы считаются ОТ МРОТ. Подробности на листе «Налоги и риски».</t>
        </is>
      </c>
    </row>
    <row r="26">
      <c r="A26" s="12" t="inlineStr">
        <is>
          <t>Расходы всего</t>
        </is>
      </c>
      <c r="B26" s="7">
        <f>SUM(B13:B25)</f>
        <v/>
      </c>
      <c r="C26" s="7">
        <f>SUM(C13:C25)</f>
        <v/>
      </c>
      <c r="D26" s="7">
        <f>SUM(D13:D25)</f>
        <v/>
      </c>
      <c r="E26" s="7">
        <f>SUM(E13:E25)</f>
        <v/>
      </c>
      <c r="F26" s="7">
        <f>SUM(F13:F25)</f>
        <v/>
      </c>
      <c r="G26" s="7">
        <f>SUM(G13:G25)</f>
        <v/>
      </c>
      <c r="H26" s="7">
        <f>SUM(H13:H25)</f>
        <v/>
      </c>
      <c r="I26" s="7">
        <f>SUM(I13:I25)</f>
        <v/>
      </c>
      <c r="J26" s="7">
        <f>SUM(J13:J25)</f>
        <v/>
      </c>
      <c r="K26" s="7">
        <f>SUM(K13:K25)</f>
        <v/>
      </c>
      <c r="L26" s="7">
        <f>SUM(L13:L25)</f>
        <v/>
      </c>
      <c r="M26" s="7">
        <f>SUM(M13:M25)</f>
        <v/>
      </c>
      <c r="N26" s="7">
        <f>SUM(N13:N25)</f>
        <v/>
      </c>
      <c r="O26" s="7">
        <f>SUM(O13:O25)</f>
        <v/>
      </c>
      <c r="P26" s="7">
        <f>SUM(P13:P25)</f>
        <v/>
      </c>
      <c r="Q26" s="7">
        <f>SUM(Q13:Q25)</f>
        <v/>
      </c>
      <c r="R26" s="7">
        <f>SUM(R13:R25)</f>
        <v/>
      </c>
      <c r="S26" s="7">
        <f>SUM(S13:S25)</f>
        <v/>
      </c>
      <c r="T26" s="7">
        <f>SUM(T13:T25)</f>
        <v/>
      </c>
      <c r="U26" s="7">
        <f>SUM(U13:U25)</f>
        <v/>
      </c>
      <c r="V26" s="7">
        <f>SUM(V13:V25)</f>
        <v/>
      </c>
      <c r="W26" s="7">
        <f>SUM(W13:W25)</f>
        <v/>
      </c>
      <c r="X26" s="7">
        <f>SUM(X13:X25)</f>
        <v/>
      </c>
      <c r="Y26" s="7">
        <f>SUM(Y13:Y25)</f>
        <v/>
      </c>
    </row>
    <row r="27">
      <c r="A27" s="13" t="inlineStr">
        <is>
          <t>Налоги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</row>
    <row r="28">
      <c r="A28" s="4" t="inlineStr">
        <is>
          <t>Доход накопленным итогом за год</t>
        </is>
      </c>
      <c r="B28" s="22">
        <f>SUM($B$10:B10)</f>
        <v/>
      </c>
      <c r="C28" s="22">
        <f>SUM($B$10:C10)</f>
        <v/>
      </c>
      <c r="D28" s="22">
        <f>SUM($B$10:D10)</f>
        <v/>
      </c>
      <c r="E28" s="22">
        <f>SUM($B$10:E10)</f>
        <v/>
      </c>
      <c r="F28" s="22">
        <f>SUM($B$10:F10)</f>
        <v/>
      </c>
      <c r="G28" s="22">
        <f>SUM($B$10:G10)</f>
        <v/>
      </c>
      <c r="H28" s="22">
        <f>SUM($B$10:H10)</f>
        <v/>
      </c>
      <c r="I28" s="22">
        <f>SUM($B$10:I10)</f>
        <v/>
      </c>
      <c r="J28" s="22">
        <f>SUM($B$10:J10)</f>
        <v/>
      </c>
      <c r="K28" s="22">
        <f>SUM($B$10:K10)</f>
        <v/>
      </c>
      <c r="L28" s="22">
        <f>SUM($B$10:L10)</f>
        <v/>
      </c>
      <c r="M28" s="22">
        <f>SUM($B$10:M10)</f>
        <v/>
      </c>
      <c r="N28" s="22">
        <f>SUM($N$10:N10)</f>
        <v/>
      </c>
      <c r="O28" s="22">
        <f>SUM($N$10:O10)</f>
        <v/>
      </c>
      <c r="P28" s="22">
        <f>SUM($N$10:P10)</f>
        <v/>
      </c>
      <c r="Q28" s="22">
        <f>SUM($N$10:Q10)</f>
        <v/>
      </c>
      <c r="R28" s="22">
        <f>SUM($N$10:R10)</f>
        <v/>
      </c>
      <c r="S28" s="22">
        <f>SUM($N$10:S10)</f>
        <v/>
      </c>
      <c r="T28" s="22">
        <f>SUM($N$10:T10)</f>
        <v/>
      </c>
      <c r="U28" s="22">
        <f>SUM($N$10:U10)</f>
        <v/>
      </c>
      <c r="V28" s="22">
        <f>SUM($N$10:V10)</f>
        <v/>
      </c>
      <c r="W28" s="22">
        <f>SUM($N$10:W10)</f>
        <v/>
      </c>
      <c r="X28" s="22">
        <f>SUM($N$10:X10)</f>
        <v/>
      </c>
      <c r="Y28" s="22">
        <f>SUM($N$10:Y10)</f>
        <v/>
      </c>
      <c r="Z28" s="6" t="inlineStr">
        <is>
          <t>Год считается календарный: порог НДС и минимальный налог смотрят на год, а не на 12 месяцев подряд.</t>
        </is>
      </c>
    </row>
    <row r="29">
      <c r="A29" s="4" t="inlineStr">
        <is>
          <t>НДС</t>
        </is>
      </c>
      <c r="B29" s="22">
        <f>IF(B28&gt;Допущения!$B$36,B10*Допущения!$B$37,0)</f>
        <v/>
      </c>
      <c r="C29" s="22">
        <f>IF(C28&gt;Допущения!$B$36,C10*Допущения!$B$37,0)</f>
        <v/>
      </c>
      <c r="D29" s="22">
        <f>IF(D28&gt;Допущения!$B$36,D10*Допущения!$B$37,0)</f>
        <v/>
      </c>
      <c r="E29" s="22">
        <f>IF(E28&gt;Допущения!$B$36,E10*Допущения!$B$37,0)</f>
        <v/>
      </c>
      <c r="F29" s="22">
        <f>IF(F28&gt;Допущения!$B$36,F10*Допущения!$B$37,0)</f>
        <v/>
      </c>
      <c r="G29" s="22">
        <f>IF(G28&gt;Допущения!$B$36,G10*Допущения!$B$37,0)</f>
        <v/>
      </c>
      <c r="H29" s="22">
        <f>IF(H28&gt;Допущения!$B$36,H10*Допущения!$B$37,0)</f>
        <v/>
      </c>
      <c r="I29" s="22">
        <f>IF(I28&gt;Допущения!$B$36,I10*Допущения!$B$37,0)</f>
        <v/>
      </c>
      <c r="J29" s="22">
        <f>IF(J28&gt;Допущения!$B$36,J10*Допущения!$B$37,0)</f>
        <v/>
      </c>
      <c r="K29" s="22">
        <f>IF(K28&gt;Допущения!$B$36,K10*Допущения!$B$37,0)</f>
        <v/>
      </c>
      <c r="L29" s="22">
        <f>IF(L28&gt;Допущения!$B$36,L10*Допущения!$B$37,0)</f>
        <v/>
      </c>
      <c r="M29" s="22">
        <f>IF(M28&gt;Допущения!$B$36,M10*Допущения!$B$37,0)</f>
        <v/>
      </c>
      <c r="N29" s="22">
        <f>IF(N28&gt;Допущения!$B$36,N10*Допущения!$B$37,0)</f>
        <v/>
      </c>
      <c r="O29" s="22">
        <f>IF(O28&gt;Допущения!$B$36,O10*Допущения!$B$37,0)</f>
        <v/>
      </c>
      <c r="P29" s="22">
        <f>IF(P28&gt;Допущения!$B$36,P10*Допущения!$B$37,0)</f>
        <v/>
      </c>
      <c r="Q29" s="22">
        <f>IF(Q28&gt;Допущения!$B$36,Q10*Допущения!$B$37,0)</f>
        <v/>
      </c>
      <c r="R29" s="22">
        <f>IF(R28&gt;Допущения!$B$36,R10*Допущения!$B$37,0)</f>
        <v/>
      </c>
      <c r="S29" s="22">
        <f>IF(S28&gt;Допущения!$B$36,S10*Допущения!$B$37,0)</f>
        <v/>
      </c>
      <c r="T29" s="22">
        <f>IF(T28&gt;Допущения!$B$36,T10*Допущения!$B$37,0)</f>
        <v/>
      </c>
      <c r="U29" s="22">
        <f>IF(U28&gt;Допущения!$B$36,U10*Допущения!$B$37,0)</f>
        <v/>
      </c>
      <c r="V29" s="22">
        <f>IF(V28&gt;Допущения!$B$36,V10*Допущения!$B$37,0)</f>
        <v/>
      </c>
      <c r="W29" s="22">
        <f>IF(W28&gt;Допущения!$B$36,W10*Допущения!$B$37,0)</f>
        <v/>
      </c>
      <c r="X29" s="22">
        <f>IF(X28&gt;Допущения!$B$36,X10*Допущения!$B$37,0)</f>
        <v/>
      </c>
      <c r="Y29" s="22">
        <f>IF(Y28&gt;Допущения!$B$36,Y10*Допущения!$B$37,0)</f>
        <v/>
      </c>
      <c r="Z29" s="6" t="inlineStr">
        <is>
          <t>Пока доход с начала года не перевалил за 20 млн ₽ — НДС нет вовсе.</t>
        </is>
      </c>
    </row>
    <row r="30">
      <c r="A30" s="4" t="inlineStr">
        <is>
          <t>База УСН (доходы минус расходы)</t>
        </is>
      </c>
      <c r="B30" s="22">
        <f>B10-B26-B29</f>
        <v/>
      </c>
      <c r="C30" s="22">
        <f>C10-C26-C29</f>
        <v/>
      </c>
      <c r="D30" s="22">
        <f>D10-D26-D29</f>
        <v/>
      </c>
      <c r="E30" s="22">
        <f>E10-E26-E29</f>
        <v/>
      </c>
      <c r="F30" s="22">
        <f>F10-F26-F29</f>
        <v/>
      </c>
      <c r="G30" s="22">
        <f>G10-G26-G29</f>
        <v/>
      </c>
      <c r="H30" s="22">
        <f>H10-H26-H29</f>
        <v/>
      </c>
      <c r="I30" s="22">
        <f>I10-I26-I29</f>
        <v/>
      </c>
      <c r="J30" s="22">
        <f>J10-J26-J29</f>
        <v/>
      </c>
      <c r="K30" s="22">
        <f>K10-K26-K29</f>
        <v/>
      </c>
      <c r="L30" s="22">
        <f>L10-L26-L29</f>
        <v/>
      </c>
      <c r="M30" s="22">
        <f>M10-M26-M29</f>
        <v/>
      </c>
      <c r="N30" s="22">
        <f>N10-N26-N29</f>
        <v/>
      </c>
      <c r="O30" s="22">
        <f>O10-O26-O29</f>
        <v/>
      </c>
      <c r="P30" s="22">
        <f>P10-P26-P29</f>
        <v/>
      </c>
      <c r="Q30" s="22">
        <f>Q10-Q26-Q29</f>
        <v/>
      </c>
      <c r="R30" s="22">
        <f>R10-R26-R29</f>
        <v/>
      </c>
      <c r="S30" s="22">
        <f>S10-S26-S29</f>
        <v/>
      </c>
      <c r="T30" s="22">
        <f>T10-T26-T29</f>
        <v/>
      </c>
      <c r="U30" s="22">
        <f>U10-U26-U29</f>
        <v/>
      </c>
      <c r="V30" s="22">
        <f>V10-V26-V29</f>
        <v/>
      </c>
      <c r="W30" s="22">
        <f>W10-W26-W29</f>
        <v/>
      </c>
      <c r="X30" s="22">
        <f>X10-X26-X29</f>
        <v/>
      </c>
      <c r="Y30" s="22">
        <f>Y10-Y26-Y29</f>
        <v/>
      </c>
    </row>
    <row r="31">
      <c r="A31" s="4" t="inlineStr">
        <is>
          <t>Налог УСН</t>
        </is>
      </c>
      <c r="B31" s="22">
        <f>MAX(B30*Допущения!$B$34,B10*Допущения!$B$35)</f>
        <v/>
      </c>
      <c r="C31" s="22">
        <f>MAX(C30*Допущения!$B$34,C10*Допущения!$B$35)</f>
        <v/>
      </c>
      <c r="D31" s="22">
        <f>MAX(D30*Допущения!$B$34,D10*Допущения!$B$35)</f>
        <v/>
      </c>
      <c r="E31" s="22">
        <f>MAX(E30*Допущения!$B$34,E10*Допущения!$B$35)</f>
        <v/>
      </c>
      <c r="F31" s="22">
        <f>MAX(F30*Допущения!$B$34,F10*Допущения!$B$35)</f>
        <v/>
      </c>
      <c r="G31" s="22">
        <f>MAX(G30*Допущения!$B$34,G10*Допущения!$B$35)</f>
        <v/>
      </c>
      <c r="H31" s="22">
        <f>MAX(H30*Допущения!$B$34,H10*Допущения!$B$35)</f>
        <v/>
      </c>
      <c r="I31" s="22">
        <f>MAX(I30*Допущения!$B$34,I10*Допущения!$B$35)</f>
        <v/>
      </c>
      <c r="J31" s="22">
        <f>MAX(J30*Допущения!$B$34,J10*Допущения!$B$35)</f>
        <v/>
      </c>
      <c r="K31" s="22">
        <f>MAX(K30*Допущения!$B$34,K10*Допущения!$B$35)</f>
        <v/>
      </c>
      <c r="L31" s="22">
        <f>MAX(L30*Допущения!$B$34,L10*Допущения!$B$35)</f>
        <v/>
      </c>
      <c r="M31" s="22">
        <f>MAX(M30*Допущения!$B$34,M10*Допущения!$B$35)</f>
        <v/>
      </c>
      <c r="N31" s="22">
        <f>MAX(N30*Допущения!$B$34,N10*Допущения!$B$35)</f>
        <v/>
      </c>
      <c r="O31" s="22">
        <f>MAX(O30*Допущения!$B$34,O10*Допущения!$B$35)</f>
        <v/>
      </c>
      <c r="P31" s="22">
        <f>MAX(P30*Допущения!$B$34,P10*Допущения!$B$35)</f>
        <v/>
      </c>
      <c r="Q31" s="22">
        <f>MAX(Q30*Допущения!$B$34,Q10*Допущения!$B$35)</f>
        <v/>
      </c>
      <c r="R31" s="22">
        <f>MAX(R30*Допущения!$B$34,R10*Допущения!$B$35)</f>
        <v/>
      </c>
      <c r="S31" s="22">
        <f>MAX(S30*Допущения!$B$34,S10*Допущения!$B$35)</f>
        <v/>
      </c>
      <c r="T31" s="22">
        <f>MAX(T30*Допущения!$B$34,T10*Допущения!$B$35)</f>
        <v/>
      </c>
      <c r="U31" s="22">
        <f>MAX(U30*Допущения!$B$34,U10*Допущения!$B$35)</f>
        <v/>
      </c>
      <c r="V31" s="22">
        <f>MAX(V30*Допущения!$B$34,V10*Допущения!$B$35)</f>
        <v/>
      </c>
      <c r="W31" s="22">
        <f>MAX(W30*Допущения!$B$34,W10*Допущения!$B$35)</f>
        <v/>
      </c>
      <c r="X31" s="22">
        <f>MAX(X30*Допущения!$B$34,X10*Допущения!$B$35)</f>
        <v/>
      </c>
      <c r="Y31" s="22">
        <f>MAX(Y30*Допущения!$B$34,Y10*Допущения!$B$35)</f>
        <v/>
      </c>
      <c r="Z31" s="6" t="inlineStr">
        <is>
          <t>Берётся большее из двух: 15% с разницы или 1% с дохода. В убыточные месяцы платится второе — минимальный налог платят и при убытке, это регулярно забывают.</t>
        </is>
      </c>
    </row>
    <row r="32">
      <c r="A32" s="12" t="inlineStr">
        <is>
          <t>Налоги всего</t>
        </is>
      </c>
      <c r="B32" s="7">
        <f>B29+B31</f>
        <v/>
      </c>
      <c r="C32" s="7">
        <f>C29+C31</f>
        <v/>
      </c>
      <c r="D32" s="7">
        <f>D29+D31</f>
        <v/>
      </c>
      <c r="E32" s="7">
        <f>E29+E31</f>
        <v/>
      </c>
      <c r="F32" s="7">
        <f>F29+F31</f>
        <v/>
      </c>
      <c r="G32" s="7">
        <f>G29+G31</f>
        <v/>
      </c>
      <c r="H32" s="7">
        <f>H29+H31</f>
        <v/>
      </c>
      <c r="I32" s="7">
        <f>I29+I31</f>
        <v/>
      </c>
      <c r="J32" s="7">
        <f>J29+J31</f>
        <v/>
      </c>
      <c r="K32" s="7">
        <f>K29+K31</f>
        <v/>
      </c>
      <c r="L32" s="7">
        <f>L29+L31</f>
        <v/>
      </c>
      <c r="M32" s="7">
        <f>M29+M31</f>
        <v/>
      </c>
      <c r="N32" s="7">
        <f>N29+N31</f>
        <v/>
      </c>
      <c r="O32" s="7">
        <f>O29+O31</f>
        <v/>
      </c>
      <c r="P32" s="7">
        <f>P29+P31</f>
        <v/>
      </c>
      <c r="Q32" s="7">
        <f>Q29+Q31</f>
        <v/>
      </c>
      <c r="R32" s="7">
        <f>R29+R31</f>
        <v/>
      </c>
      <c r="S32" s="7">
        <f>S29+S31</f>
        <v/>
      </c>
      <c r="T32" s="7">
        <f>T29+T31</f>
        <v/>
      </c>
      <c r="U32" s="7">
        <f>U29+U31</f>
        <v/>
      </c>
      <c r="V32" s="7">
        <f>V29+V31</f>
        <v/>
      </c>
      <c r="W32" s="7">
        <f>W29+W31</f>
        <v/>
      </c>
      <c r="X32" s="7">
        <f>X29+X31</f>
        <v/>
      </c>
      <c r="Y32" s="7">
        <f>Y29+Y31</f>
        <v/>
      </c>
    </row>
    <row r="33">
      <c r="A33" s="13" t="inlineStr">
        <is>
          <t>Итог</t>
        </is>
      </c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</row>
    <row r="34">
      <c r="A34" s="12" t="inlineStr">
        <is>
          <t>Прибыль до налогов</t>
        </is>
      </c>
      <c r="B34" s="7">
        <f>B10-B26</f>
        <v/>
      </c>
      <c r="C34" s="7">
        <f>C10-C26</f>
        <v/>
      </c>
      <c r="D34" s="7">
        <f>D10-D26</f>
        <v/>
      </c>
      <c r="E34" s="7">
        <f>E10-E26</f>
        <v/>
      </c>
      <c r="F34" s="7">
        <f>F10-F26</f>
        <v/>
      </c>
      <c r="G34" s="7">
        <f>G10-G26</f>
        <v/>
      </c>
      <c r="H34" s="7">
        <f>H10-H26</f>
        <v/>
      </c>
      <c r="I34" s="7">
        <f>I10-I26</f>
        <v/>
      </c>
      <c r="J34" s="7">
        <f>J10-J26</f>
        <v/>
      </c>
      <c r="K34" s="7">
        <f>K10-K26</f>
        <v/>
      </c>
      <c r="L34" s="7">
        <f>L10-L26</f>
        <v/>
      </c>
      <c r="M34" s="7">
        <f>M10-M26</f>
        <v/>
      </c>
      <c r="N34" s="7">
        <f>N10-N26</f>
        <v/>
      </c>
      <c r="O34" s="7">
        <f>O10-O26</f>
        <v/>
      </c>
      <c r="P34" s="7">
        <f>P10-P26</f>
        <v/>
      </c>
      <c r="Q34" s="7">
        <f>Q10-Q26</f>
        <v/>
      </c>
      <c r="R34" s="7">
        <f>R10-R26</f>
        <v/>
      </c>
      <c r="S34" s="7">
        <f>S10-S26</f>
        <v/>
      </c>
      <c r="T34" s="7">
        <f>T10-T26</f>
        <v/>
      </c>
      <c r="U34" s="7">
        <f>U10-U26</f>
        <v/>
      </c>
      <c r="V34" s="7">
        <f>V10-V26</f>
        <v/>
      </c>
      <c r="W34" s="7">
        <f>W10-W26</f>
        <v/>
      </c>
      <c r="X34" s="7">
        <f>X10-X26</f>
        <v/>
      </c>
      <c r="Y34" s="7">
        <f>Y10-Y26</f>
        <v/>
      </c>
    </row>
    <row r="35">
      <c r="A35" s="12" t="inlineStr">
        <is>
          <t>Чистая прибыль</t>
        </is>
      </c>
      <c r="B35" s="7">
        <f>B34-B32</f>
        <v/>
      </c>
      <c r="C35" s="7">
        <f>C34-C32</f>
        <v/>
      </c>
      <c r="D35" s="7">
        <f>D34-D32</f>
        <v/>
      </c>
      <c r="E35" s="7">
        <f>E34-E32</f>
        <v/>
      </c>
      <c r="F35" s="7">
        <f>F34-F32</f>
        <v/>
      </c>
      <c r="G35" s="7">
        <f>G34-G32</f>
        <v/>
      </c>
      <c r="H35" s="7">
        <f>H34-H32</f>
        <v/>
      </c>
      <c r="I35" s="7">
        <f>I34-I32</f>
        <v/>
      </c>
      <c r="J35" s="7">
        <f>J34-J32</f>
        <v/>
      </c>
      <c r="K35" s="7">
        <f>K34-K32</f>
        <v/>
      </c>
      <c r="L35" s="7">
        <f>L34-L32</f>
        <v/>
      </c>
      <c r="M35" s="7">
        <f>M34-M32</f>
        <v/>
      </c>
      <c r="N35" s="7">
        <f>N34-N32</f>
        <v/>
      </c>
      <c r="O35" s="7">
        <f>O34-O32</f>
        <v/>
      </c>
      <c r="P35" s="7">
        <f>P34-P32</f>
        <v/>
      </c>
      <c r="Q35" s="7">
        <f>Q34-Q32</f>
        <v/>
      </c>
      <c r="R35" s="7">
        <f>R34-R32</f>
        <v/>
      </c>
      <c r="S35" s="7">
        <f>S34-S32</f>
        <v/>
      </c>
      <c r="T35" s="7">
        <f>T34-T32</f>
        <v/>
      </c>
      <c r="U35" s="7">
        <f>U34-U32</f>
        <v/>
      </c>
      <c r="V35" s="7">
        <f>V34-V32</f>
        <v/>
      </c>
      <c r="W35" s="7">
        <f>W34-W32</f>
        <v/>
      </c>
      <c r="X35" s="7">
        <f>X34-X32</f>
        <v/>
      </c>
      <c r="Y35" s="7">
        <f>Y34-Y32</f>
        <v/>
      </c>
    </row>
    <row r="36">
      <c r="A36" s="12" t="inlineStr">
        <is>
          <t>Денежный поток за месяц</t>
        </is>
      </c>
      <c r="B36" s="7">
        <f>B11-B26-B32</f>
        <v/>
      </c>
      <c r="C36" s="7">
        <f>C11-C26-C32</f>
        <v/>
      </c>
      <c r="D36" s="7">
        <f>D11-D26-D32</f>
        <v/>
      </c>
      <c r="E36" s="7">
        <f>E11-E26-E32</f>
        <v/>
      </c>
      <c r="F36" s="7">
        <f>F11-F26-F32</f>
        <v/>
      </c>
      <c r="G36" s="7">
        <f>G11-G26-G32</f>
        <v/>
      </c>
      <c r="H36" s="7">
        <f>H11-H26-H32</f>
        <v/>
      </c>
      <c r="I36" s="7">
        <f>I11-I26-I32</f>
        <v/>
      </c>
      <c r="J36" s="7">
        <f>J11-J26-J32</f>
        <v/>
      </c>
      <c r="K36" s="7">
        <f>K11-K26-K32</f>
        <v/>
      </c>
      <c r="L36" s="7">
        <f>L11-L26-L32</f>
        <v/>
      </c>
      <c r="M36" s="7">
        <f>M11-M26-M32</f>
        <v/>
      </c>
      <c r="N36" s="7">
        <f>N11-N26-N32</f>
        <v/>
      </c>
      <c r="O36" s="7">
        <f>O11-O26-O32</f>
        <v/>
      </c>
      <c r="P36" s="7">
        <f>P11-P26-P32</f>
        <v/>
      </c>
      <c r="Q36" s="7">
        <f>Q11-Q26-Q32</f>
        <v/>
      </c>
      <c r="R36" s="7">
        <f>R11-R26-R32</f>
        <v/>
      </c>
      <c r="S36" s="7">
        <f>S11-S26-S32</f>
        <v/>
      </c>
      <c r="T36" s="7">
        <f>T11-T26-T32</f>
        <v/>
      </c>
      <c r="U36" s="7">
        <f>U11-U26-U32</f>
        <v/>
      </c>
      <c r="V36" s="7">
        <f>V11-V26-V32</f>
        <v/>
      </c>
      <c r="W36" s="7">
        <f>W11-W26-W32</f>
        <v/>
      </c>
      <c r="X36" s="7">
        <f>X11-X26-X32</f>
        <v/>
      </c>
      <c r="Y36" s="7">
        <f>Y11-Y26-Y32</f>
        <v/>
      </c>
    </row>
    <row r="37">
      <c r="A37" s="12" t="inlineStr">
        <is>
          <t>Деньги на конец месяца</t>
        </is>
      </c>
      <c r="B37" s="7">
        <f>Допущения!$B$42+B36</f>
        <v/>
      </c>
      <c r="C37" s="7">
        <f>B37+C36</f>
        <v/>
      </c>
      <c r="D37" s="7">
        <f>C37+D36</f>
        <v/>
      </c>
      <c r="E37" s="7">
        <f>D37+E36</f>
        <v/>
      </c>
      <c r="F37" s="7">
        <f>E37+F36</f>
        <v/>
      </c>
      <c r="G37" s="7">
        <f>F37+G36</f>
        <v/>
      </c>
      <c r="H37" s="7">
        <f>G37+H36</f>
        <v/>
      </c>
      <c r="I37" s="7">
        <f>H37+I36</f>
        <v/>
      </c>
      <c r="J37" s="7">
        <f>I37+J36</f>
        <v/>
      </c>
      <c r="K37" s="7">
        <f>J37+K36</f>
        <v/>
      </c>
      <c r="L37" s="7">
        <f>K37+L36</f>
        <v/>
      </c>
      <c r="M37" s="7">
        <f>L37+M36</f>
        <v/>
      </c>
      <c r="N37" s="7">
        <f>M37+N36</f>
        <v/>
      </c>
      <c r="O37" s="7">
        <f>N37+O36</f>
        <v/>
      </c>
      <c r="P37" s="7">
        <f>O37+P36</f>
        <v/>
      </c>
      <c r="Q37" s="7">
        <f>P37+Q36</f>
        <v/>
      </c>
      <c r="R37" s="7">
        <f>Q37+R36</f>
        <v/>
      </c>
      <c r="S37" s="7">
        <f>R37+S36</f>
        <v/>
      </c>
      <c r="T37" s="7">
        <f>S37+T36</f>
        <v/>
      </c>
      <c r="U37" s="7">
        <f>T37+U36</f>
        <v/>
      </c>
      <c r="V37" s="7">
        <f>U37+V36</f>
        <v/>
      </c>
      <c r="W37" s="7">
        <f>V37+W36</f>
        <v/>
      </c>
      <c r="X37" s="7">
        <f>W37+X36</f>
        <v/>
      </c>
      <c r="Y37" s="7">
        <f>X37+Y36</f>
        <v/>
      </c>
      <c r="Z37" s="6" t="inlineStr">
        <is>
          <t>Месяц, в котором это число уходит в минус, — тот, до которого нужны деньги.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86" customWidth="1" min="3" max="3"/>
  </cols>
  <sheetData>
    <row r="1">
      <c r="A1" s="1" t="inlineStr">
        <is>
          <t>Налоги и риски: что проверено и что изменилось</t>
        </is>
      </c>
    </row>
    <row r="3" ht="32" customHeight="1">
      <c r="A3" s="24" t="inlineStr">
        <is>
          <t>ГЛАВНОЕ: замысел «не заключать трудовой договор с ГД, чтобы не платить взносы» с 1 января 2026 года больше не работает</t>
        </is>
      </c>
    </row>
    <row r="4" ht="34" customHeight="1">
      <c r="A4" s="4" t="inlineStr">
        <is>
          <t>•</t>
        </is>
      </c>
      <c r="B4" s="11" t="inlineStr">
        <is>
          <t>ФЗ от 28.11.2025 № 425-ФЗ изменил пункт 1 статьи 421 НК РФ. С 01.01.2026: если за месяц единоличному исполнительному органу коммерческой организации начислено выплат меньше МРОТ, страховые взносы считаются исходя из МРОТ.</t>
        </is>
      </c>
    </row>
    <row r="5" ht="34" customHeight="1">
      <c r="A5" s="4" t="inlineStr">
        <is>
          <t>•</t>
        </is>
      </c>
      <c r="B5" s="11" t="inlineStr">
        <is>
          <t>Норма не спрашивает, есть ли трудовой договор. Она привязана к самому факту исполнения полномочий руководителя. Отсутствие договора и отсутствие зарплаты больше не спасают.</t>
        </is>
      </c>
    </row>
    <row r="6" ht="34" customHeight="1">
      <c r="A6" s="4" t="inlineStr">
        <is>
          <t>•</t>
        </is>
      </c>
      <c r="B6" s="11" t="inlineStr">
        <is>
          <t>Правило касается ВСЕХ коммерческих организаций, АО в том числе. Исключений по форме нет.</t>
        </is>
      </c>
    </row>
    <row r="7" ht="34" customHeight="1">
      <c r="A7" s="4" t="inlineStr">
        <is>
          <t>•</t>
        </is>
      </c>
      <c r="B7" s="11" t="inlineStr">
        <is>
          <t>Значит, экономия, ради которой затевался отказ от трудового договора, равна нулю — а вот риск остался: если взносы не платить, при проверке доначислят их же, плюс пени и штраф.</t>
        </is>
      </c>
    </row>
    <row r="9">
      <c r="A9" s="8" t="inlineStr">
        <is>
          <t>Сколько это стоит</t>
        </is>
      </c>
    </row>
    <row r="10">
      <c r="A10" s="3" t="inlineStr">
        <is>
          <t>Показатель</t>
        </is>
      </c>
      <c r="B10" s="3" t="inlineStr">
        <is>
          <t>Значение</t>
        </is>
      </c>
      <c r="C10" s="3" t="inlineStr">
        <is>
          <t>Как считается</t>
        </is>
      </c>
    </row>
    <row r="11" ht="30" customHeight="1">
      <c r="A11" s="4" t="inlineStr">
        <is>
          <t>МРОТ 2026, ₽ в месяц</t>
        </is>
      </c>
      <c r="B11" s="7">
        <f>Допущения!$B$38</f>
        <v/>
      </c>
      <c r="C11" s="6" t="inlineStr">
        <is>
          <t>ФЗ от 28.11.2025 № 429-ФЗ</t>
        </is>
      </c>
    </row>
    <row r="12" ht="30" customHeight="1">
      <c r="A12" s="4" t="inlineStr">
        <is>
          <t>Тариф взносов</t>
        </is>
      </c>
      <c r="B12" s="25">
        <f>Допущения!$B$39</f>
        <v/>
      </c>
      <c r="C12" s="6" t="inlineStr">
        <is>
          <t>30% в пределах базы 2 979 000 ₽. Льгота МСП 15% не применяется: она действует только на выплаты СВЫШЕ 1,5 МРОТ (40 640 ₽), а МРОТ ниже этой границы.</t>
        </is>
      </c>
    </row>
    <row r="13" ht="30" customHeight="1">
      <c r="A13" s="4" t="inlineStr">
        <is>
          <t>Взносы за ГД, ₽ в месяц</t>
        </is>
      </c>
      <c r="B13" s="7">
        <f>Допущения!$B$38*Допущения!$B$39</f>
        <v/>
      </c>
      <c r="C13" s="6" t="inlineStr">
        <is>
          <t>МРОТ × тариф</t>
        </is>
      </c>
    </row>
    <row r="14" ht="30" customHeight="1">
      <c r="A14" s="4" t="inlineStr">
        <is>
          <t>Взносы за ГД, ₽ в год</t>
        </is>
      </c>
      <c r="B14" s="7">
        <f>Допущения!$B$38*Допущения!$B$39*12</f>
        <v/>
      </c>
      <c r="C14" s="6" t="inlineStr">
        <is>
          <t>Это цена решения «не платить зарплату». Раньше она была нулём.</t>
        </is>
      </c>
    </row>
    <row r="15" ht="30" customHeight="1">
      <c r="A15" s="4" t="inlineStr">
        <is>
          <t>За двоих руководителей, ₽ в год</t>
        </is>
      </c>
      <c r="B15" s="7">
        <f>Допущения!$B$38*Допущения!$B$39*12*2</f>
        <v/>
      </c>
      <c r="C15" s="6" t="inlineStr">
        <is>
          <t>Если руководителей двое (например, ГД и управляющий), считается по каждому.</t>
        </is>
      </c>
    </row>
    <row r="17">
      <c r="A17" s="8" t="inlineStr">
        <is>
          <t>Если всё-таки не платить: во что обойдётся проверка</t>
        </is>
      </c>
    </row>
    <row r="18" ht="30" customHeight="1">
      <c r="A18" s="4" t="inlineStr">
        <is>
          <t>Недоимка за 3 года (глубина проверки)</t>
        </is>
      </c>
      <c r="B18" s="10">
        <f>Допущения!$B$38*Допущения!$B$39*36</f>
        <v/>
      </c>
      <c r="C18" s="6" t="inlineStr">
        <is>
          <t>Выездная проверка охватывает три года, предшествующих году её назначения.</t>
        </is>
      </c>
    </row>
    <row r="19" ht="30" customHeight="1">
      <c r="A19" s="4" t="inlineStr">
        <is>
          <t>Штраф 20% от неуплаченного</t>
        </is>
      </c>
      <c r="B19" s="10">
        <f>Допущения!$B$38*Допущения!$B$39*36*0.2</f>
        <v/>
      </c>
      <c r="C19" s="6" t="inlineStr">
        <is>
          <t>П. 1 ст. 122 НК РФ. Если докажут умысел — 40%.</t>
        </is>
      </c>
    </row>
    <row r="20" ht="30" customHeight="1">
      <c r="A20" s="4" t="inlineStr">
        <is>
          <t>Пени (ориентир, ~16% годовых в среднем за период)</t>
        </is>
      </c>
      <c r="B20" s="10">
        <f>Допущения!$B$38*Допущения!$B$39*36*0.24</f>
        <v/>
      </c>
      <c r="C20" s="6" t="inlineStr">
        <is>
          <t>Считаются по ключевой ставке за каждый день просрочки; здесь грубая прикидка, точная сумма зависит от ставки и дат.</t>
        </is>
      </c>
    </row>
    <row r="21" ht="30" customHeight="1">
      <c r="A21" s="4" t="inlineStr">
        <is>
          <t>Итого при худшем исходе</t>
        </is>
      </c>
      <c r="B21" s="10">
        <f>Допущения!$B$38*Допущения!$B$39*36*1.44</f>
        <v/>
      </c>
      <c r="C21" s="6" t="inlineStr">
        <is>
          <t>Против нуля экономии. Поэтому в модели взносы стоят в расходах с первого месяца.</t>
        </is>
      </c>
    </row>
    <row r="23">
      <c r="A23" s="8" t="inlineStr">
        <is>
          <t>Что с этим делать — три варианта, по возрастанию выгоды</t>
        </is>
      </c>
    </row>
    <row r="24">
      <c r="A24" s="12" t="inlineStr">
        <is>
          <t>1. Оставить как есть: без договора, взносы с МРОТ</t>
        </is>
      </c>
    </row>
    <row r="25" ht="46" customHeight="1">
      <c r="A25" s="11" t="inlineStr">
        <is>
          <t>Платим 8 128 ₽ в месяц и спим спокойно. Трудового договора нет, зарплаты нет, но взносы начисляем и сдаём РСВ. Самый простой путь, и он уже заложен в модель.</t>
        </is>
      </c>
    </row>
    <row r="27">
      <c r="A27" s="12" t="inlineStr">
        <is>
          <t>2. Заключить трудовой договор на МРОТ</t>
        </is>
      </c>
    </row>
    <row r="28" ht="46" customHeight="1">
      <c r="A28" s="11" t="inlineStr">
        <is>
          <t>Та же сумма взносов (база одна — МРОТ), но появляется зарплата 27 093 ₽ и НДФЛ с неё. Зато исчезает спор о статусе, а зарплата попадает в расходы УСН и уменьшает налог. При ставке 15% возврат составляет около 4 тыс ₽ в месяц — то есть вариант дешевле первого.</t>
        </is>
      </c>
    </row>
    <row r="30">
      <c r="A30" s="12" t="inlineStr">
        <is>
          <t>3. Посмотреть на АУСН — там взносы 0%</t>
        </is>
      </c>
    </row>
    <row r="31" ht="46" customHeight="1">
      <c r="A31" s="11" t="inlineStr">
        <is>
          <t>Автоматизированная УСН: тариф страховых взносов 0%, остаётся только взнос на травматизм 2 959 ₽ в год. Ограничения: доход до 60 млн ₽, до 5 человек, режим действует не во всех регионах, нельзя совмещать с некоторыми видами деятельности. На нашем масштабе подходит и экономит около 97 тыс ₽ в год только на ГД. ПРОВЕРИТЬ: действует ли АУСН в вашем регионе и вправе ли АО его применять.</t>
        </is>
      </c>
    </row>
    <row r="33">
      <c r="A33" s="8" t="inlineStr">
        <is>
          <t>Остальные налоговые узлы</t>
        </is>
      </c>
    </row>
    <row r="34">
      <c r="A34" s="12" t="inlineStr">
        <is>
          <t>НДС приходит намного раньше, чем вы думаете</t>
        </is>
      </c>
    </row>
    <row r="35" ht="46" customHeight="1">
      <c r="A35" s="11" t="inlineStr">
        <is>
          <t>Порог освобождения для упрощенцев снижен с 60 до 20 млн ₽ с 01.01.2026 и заморожен до конца 2029 года (ФЗ от 04.07.2026 № 228-ФЗ). При подписке 9 900 ₽ в месяц это примерно 170 платящих подписчиков — в смелом сценарии мы упираемся в порог на втором году. Ставка 5% без вычетов нам выгоднее 22% с вычетами: вычитать почти нечего, наши расходы идут без НДС.</t>
        </is>
      </c>
    </row>
    <row r="37">
      <c r="A37" s="12" t="inlineStr">
        <is>
          <t>Минимальный налог платится и при убытке</t>
        </is>
      </c>
    </row>
    <row r="38" ht="46" customHeight="1">
      <c r="A38" s="11" t="inlineStr">
        <is>
          <t>На «доходах минус расходах» платится большее из двух: 15% с разницы или 1% с дохода. Первый год убыточен, значит весь год платим 1% с выручки. В модели это учтено.</t>
        </is>
      </c>
    </row>
    <row r="40">
      <c r="A40" s="12" t="inlineStr">
        <is>
          <t>У АО есть расходы, которых нет у ООО</t>
        </is>
      </c>
    </row>
    <row r="41" ht="46" customHeight="1">
      <c r="A41" s="11" t="inlineStr">
        <is>
          <t>Реестр акционеров обязан вести лицензированный регистратор — это отдельная строка расходов и отдельный договор. Плюс раскрытие информации и более сложная отчётность. Если АО заведено не ради будущего раунда, стоит пересчитать, зачем оно: ООО дешевле в содержании.</t>
        </is>
      </c>
    </row>
    <row r="43">
      <c r="A43" s="12" t="inlineStr">
        <is>
          <t>Аккредитация Минцифры нам сейчас недоступна</t>
        </is>
      </c>
    </row>
    <row r="44" ht="46" customHeight="1">
      <c r="A44" s="11" t="inlineStr">
        <is>
          <t>Она даёт пониженные взносы, но требует не менее 7 человек в штате. Нас двое-трое. Возвращаться к этому вопросу имеет смысл, когда появится команда.</t>
        </is>
      </c>
    </row>
    <row r="46">
      <c r="A46" s="12" t="inlineStr">
        <is>
          <t>Товарный знак — это не формальность, а защита названия</t>
        </is>
      </c>
    </row>
    <row r="47" ht="46" customHeight="1">
      <c r="A47" s="11" t="inlineStr">
        <is>
          <t>Пока знак не зарегистрирован, «Компас» может занять кто угодно, и придётся менять название вместе с доменом и накопленной узнаваемостью. Сроки регистрации — около года, поэтому подавать надо сейчас, а не когда появится спор.</t>
        </is>
      </c>
    </row>
    <row r="49">
      <c r="A49" s="8" t="inlineStr">
        <is>
          <t>Источники, по которым проверены ставки (22 сентября 2026)</t>
        </is>
      </c>
    </row>
    <row r="50">
      <c r="A50" s="2" t="inlineStr">
        <is>
          <t>— ФЗ от 28.11.2025 № 425-ФЗ — взносы с МРОТ за руководителя (п. 1 ст. 421 НК РФ)</t>
        </is>
      </c>
    </row>
    <row r="51">
      <c r="A51" s="2" t="inlineStr">
        <is>
          <t>— ФЗ от 28.11.2025 № 429-ФЗ — МРОТ 27 093 ₽</t>
        </is>
      </c>
    </row>
    <row r="52">
      <c r="A52" s="2" t="inlineStr">
        <is>
          <t>— ФЗ от 04.07.2026 № 228-ФЗ — порог НДС 20 млн ₽ заморожен до конца 2029 года</t>
        </is>
      </c>
    </row>
    <row r="53">
      <c r="A53" s="2" t="inlineStr">
        <is>
          <t>— Распоряжение Президента РФ от 31.12.2025 № 1705 — предельная база взносов 2 979 000 ₽</t>
        </is>
      </c>
    </row>
    <row r="54">
      <c r="A54" s="2" t="inlineStr">
        <is>
          <t>— ст. 346.20 НК РФ — ставки УСН; ст. 122 НК РФ — штраф за неуплату</t>
        </is>
      </c>
    </row>
  </sheetData>
  <mergeCells count="13">
    <mergeCell ref="A25:C25"/>
    <mergeCell ref="B6:C6"/>
    <mergeCell ref="A28:C28"/>
    <mergeCell ref="A41:C41"/>
    <mergeCell ref="A44:C44"/>
    <mergeCell ref="B7:C7"/>
    <mergeCell ref="A47:C47"/>
    <mergeCell ref="B5:C5"/>
    <mergeCell ref="A31:C31"/>
    <mergeCell ref="A38:C38"/>
    <mergeCell ref="A3:C3"/>
    <mergeCell ref="A35:C35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2026-09-22T07:55:20Z</dcterms:created>
  <dcterms:modified xsi:type="dcterms:W3CDTF">2026-09-22T07:55:20Z</dcterms:modified>
</cp:coreProperties>
</file>